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873\OneDrive\Desktop\BIA\S2\Advanced Analytics Applied\BI - Luxury goods\Final-Sprint-19-May\Sprint-Final\VBA\"/>
    </mc:Choice>
  </mc:AlternateContent>
  <bookViews>
    <workbookView xWindow="-108" yWindow="-108" windowWidth="23256" windowHeight="12456"/>
  </bookViews>
  <sheets>
    <sheet name="Home" sheetId="10" r:id="rId1"/>
    <sheet name="Traffic Analytics" sheetId="5" r:id="rId2"/>
    <sheet name="Market Explorer" sheetId="9" r:id="rId3"/>
    <sheet name="Data" sheetId="2" r:id="rId4"/>
  </sheets>
  <calcPr calcId="15251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9" l="1"/>
  <c r="J10" i="9"/>
  <c r="R10" i="9"/>
  <c r="N10" i="9"/>
  <c r="C10" i="9"/>
  <c r="AC25" i="2"/>
  <c r="AH29" i="2"/>
  <c r="AD29" i="2"/>
  <c r="AC26" i="2" l="1"/>
  <c r="AH35" i="2" l="1"/>
  <c r="AG35" i="2"/>
  <c r="AH34" i="2"/>
  <c r="AG34" i="2"/>
  <c r="AH33" i="2"/>
  <c r="AG33" i="2"/>
  <c r="AH32" i="2"/>
  <c r="AG32" i="2"/>
  <c r="AH31" i="2"/>
  <c r="AG31" i="2"/>
  <c r="AH30" i="2"/>
  <c r="AG30" i="2"/>
  <c r="AD33" i="2"/>
  <c r="AD32" i="2"/>
  <c r="AD31" i="2"/>
  <c r="AD30" i="2"/>
  <c r="AC33" i="2"/>
  <c r="AC32" i="2"/>
  <c r="AC31" i="2"/>
  <c r="AC30" i="2"/>
  <c r="AD28" i="2"/>
  <c r="AC28" i="2"/>
  <c r="AD24" i="2"/>
  <c r="AC24" i="2"/>
  <c r="AB19" i="2" l="1"/>
  <c r="AB20" i="2"/>
  <c r="AB21" i="2"/>
  <c r="AB22" i="2"/>
  <c r="AB18" i="2"/>
  <c r="AF30" i="2"/>
  <c r="AF31" i="2"/>
  <c r="AF32" i="2"/>
  <c r="AF33" i="2"/>
  <c r="AF34" i="2"/>
  <c r="AF35" i="2"/>
  <c r="AG29" i="2"/>
  <c r="AF29" i="2"/>
  <c r="AB30" i="2"/>
  <c r="AB31" i="2"/>
  <c r="AB32" i="2"/>
  <c r="AB33" i="2"/>
  <c r="AB29" i="2"/>
  <c r="AC29" i="2"/>
  <c r="AD27" i="2"/>
  <c r="AC27" i="2"/>
  <c r="AD17" i="2"/>
  <c r="AC17" i="2"/>
  <c r="AE15" i="2"/>
  <c r="AF15" i="2"/>
  <c r="AG15" i="2"/>
  <c r="AD15" i="2"/>
  <c r="AC15" i="2"/>
  <c r="AD13" i="2"/>
  <c r="AC13" i="2"/>
  <c r="AF6" i="2"/>
  <c r="AE6" i="2"/>
  <c r="AB8" i="2"/>
  <c r="AB9" i="2"/>
  <c r="AB10" i="2"/>
  <c r="AB11" i="2"/>
  <c r="AB12" i="2"/>
  <c r="AB7" i="2"/>
  <c r="AD6" i="2"/>
  <c r="AC6" i="2"/>
  <c r="AD20" i="2"/>
  <c r="AD21" i="2"/>
  <c r="AD22" i="2"/>
  <c r="AD19" i="2"/>
  <c r="AD18" i="2"/>
  <c r="AC22" i="2"/>
  <c r="AC21" i="2"/>
  <c r="AC20" i="2"/>
  <c r="AC19" i="2"/>
  <c r="AC18" i="2"/>
  <c r="AG16" i="2"/>
  <c r="AF16" i="2"/>
  <c r="AE16" i="2"/>
  <c r="AD16" i="2"/>
  <c r="AC16" i="2"/>
  <c r="AD14" i="2"/>
  <c r="AC14" i="2"/>
  <c r="AF12" i="2"/>
  <c r="AF11" i="2"/>
  <c r="AF10" i="2"/>
  <c r="AF9" i="2"/>
  <c r="AF8" i="2"/>
  <c r="AF7" i="2"/>
  <c r="AE12" i="2"/>
  <c r="AE11" i="2"/>
  <c r="AE10" i="2"/>
  <c r="AE9" i="2"/>
  <c r="AE8" i="2"/>
  <c r="AE7" i="2"/>
  <c r="AD8" i="2"/>
  <c r="AD9" i="2"/>
  <c r="AD10" i="2"/>
  <c r="AD11" i="2"/>
  <c r="AD12" i="2"/>
  <c r="AD7" i="2"/>
  <c r="AC11" i="2"/>
  <c r="AC12" i="2"/>
  <c r="AC8" i="2"/>
  <c r="AC9" i="2"/>
  <c r="AC10" i="2"/>
  <c r="AC7" i="2"/>
  <c r="AB6" i="2"/>
</calcChain>
</file>

<file path=xl/sharedStrings.xml><?xml version="1.0" encoding="utf-8"?>
<sst xmlns="http://schemas.openxmlformats.org/spreadsheetml/2006/main" count="321" uniqueCount="167">
  <si>
    <t>Desktop</t>
  </si>
  <si>
    <t>Mobile</t>
  </si>
  <si>
    <t>Traffic Share</t>
  </si>
  <si>
    <t>Visits</t>
  </si>
  <si>
    <t>Unique Visitors</t>
  </si>
  <si>
    <t>Avg. Visit Duration</t>
  </si>
  <si>
    <t>Traffic Sources by Type</t>
  </si>
  <si>
    <t>Direct</t>
  </si>
  <si>
    <t>Referral</t>
  </si>
  <si>
    <t>Search</t>
  </si>
  <si>
    <t>Social</t>
  </si>
  <si>
    <t>Traffic Distribution</t>
  </si>
  <si>
    <t>Country</t>
  </si>
  <si>
    <t>US</t>
  </si>
  <si>
    <t>France</t>
  </si>
  <si>
    <t>Italy</t>
  </si>
  <si>
    <t>Norway</t>
  </si>
  <si>
    <t>Netherlands</t>
  </si>
  <si>
    <t>Market Competition</t>
  </si>
  <si>
    <t>Hard to compete</t>
  </si>
  <si>
    <t>Market Traffic Cost</t>
  </si>
  <si>
    <t>$63.7K</t>
  </si>
  <si>
    <t>Market Size</t>
  </si>
  <si>
    <t>Total Addressable Market (TAM)</t>
  </si>
  <si>
    <t>Serviceable Available Market (SAM)</t>
  </si>
  <si>
    <t>78.9M</t>
  </si>
  <si>
    <t>66.7M</t>
  </si>
  <si>
    <t>Top Keywords</t>
  </si>
  <si>
    <t>keyword</t>
  </si>
  <si>
    <t>volume</t>
  </si>
  <si>
    <t>traffic</t>
  </si>
  <si>
    <t>kering</t>
  </si>
  <si>
    <t>franÃ§ois-henri pinault</t>
  </si>
  <si>
    <t>kering eyewear</t>
  </si>
  <si>
    <t>kering group</t>
  </si>
  <si>
    <t>kering holland nv</t>
  </si>
  <si>
    <t>emma watson</t>
  </si>
  <si>
    <t>kerring</t>
  </si>
  <si>
    <t>cartier glasses</t>
  </si>
  <si>
    <t>kerring group</t>
  </si>
  <si>
    <t>kering brands</t>
  </si>
  <si>
    <t>kering eyewear login</t>
  </si>
  <si>
    <t>yves saint laurent</t>
  </si>
  <si>
    <t>kering careers</t>
  </si>
  <si>
    <t>kering headquarters us</t>
  </si>
  <si>
    <t>kering c/o dsv solutions llc</t>
  </si>
  <si>
    <t>my kering login</t>
  </si>
  <si>
    <t>gucci</t>
  </si>
  <si>
    <t>pierre bergÃ©</t>
  </si>
  <si>
    <t>kering eyewear provider login</t>
  </si>
  <si>
    <t>marco bizzarri</t>
  </si>
  <si>
    <t>Domain vs Market: Growth by Sources</t>
  </si>
  <si>
    <t>Source</t>
  </si>
  <si>
    <t>Market</t>
  </si>
  <si>
    <t>kering.com</t>
  </si>
  <si>
    <t>Domain vs Market: Audience</t>
  </si>
  <si>
    <t>Age</t>
  </si>
  <si>
    <t>18-24</t>
  </si>
  <si>
    <t>25-34</t>
  </si>
  <si>
    <t>35-44</t>
  </si>
  <si>
    <t>45-54</t>
  </si>
  <si>
    <t>55-64</t>
  </si>
  <si>
    <t>65+</t>
  </si>
  <si>
    <t>Difficult to compete</t>
  </si>
  <si>
    <t>$3M</t>
  </si>
  <si>
    <t>296.4M</t>
  </si>
  <si>
    <t>9.8M</t>
  </si>
  <si>
    <t>moet hennessy</t>
  </si>
  <si>
    <t>louis vuitton</t>
  </si>
  <si>
    <t>moet champagne</t>
  </si>
  <si>
    <t>moet</t>
  </si>
  <si>
    <t>moet and chandon</t>
  </si>
  <si>
    <t>moet chandon</t>
  </si>
  <si>
    <t>dior</t>
  </si>
  <si>
    <t>moet &amp; chandon</t>
  </si>
  <si>
    <t>lv</t>
  </si>
  <si>
    <t>fendi</t>
  </si>
  <si>
    <t>celine</t>
  </si>
  <si>
    <t>moet&amp;chandon</t>
  </si>
  <si>
    <t>bon marche</t>
  </si>
  <si>
    <t>loewe</t>
  </si>
  <si>
    <t>louisvuitton</t>
  </si>
  <si>
    <t>moÃ«t</t>
  </si>
  <si>
    <t>chandon</t>
  </si>
  <si>
    <t>louis vitton</t>
  </si>
  <si>
    <t>luis vuitton</t>
  </si>
  <si>
    <t>lvmh</t>
  </si>
  <si>
    <t>lvmh.com</t>
  </si>
  <si>
    <t>Spain</t>
  </si>
  <si>
    <t>Australia</t>
  </si>
  <si>
    <t>Traffic</t>
  </si>
  <si>
    <t>Paid</t>
  </si>
  <si>
    <t>United States</t>
  </si>
  <si>
    <t>Singapore</t>
  </si>
  <si>
    <t>Japan</t>
  </si>
  <si>
    <t>Canada</t>
  </si>
  <si>
    <t>Easy to compete</t>
  </si>
  <si>
    <t>$45.6M</t>
  </si>
  <si>
    <t>1B</t>
  </si>
  <si>
    <t>birkin bag</t>
  </si>
  <si>
    <t>birkin</t>
  </si>
  <si>
    <t>berkin bag</t>
  </si>
  <si>
    <t>birken bag</t>
  </si>
  <si>
    <t>hermes kelly 25</t>
  </si>
  <si>
    <t>hermes</t>
  </si>
  <si>
    <t>hermes bag</t>
  </si>
  <si>
    <t>hermes birkin</t>
  </si>
  <si>
    <t>hermes bags</t>
  </si>
  <si>
    <t>birkin bag price</t>
  </si>
  <si>
    <t>hermes purse</t>
  </si>
  <si>
    <t>chanel bags</t>
  </si>
  <si>
    <t>kelly bag</t>
  </si>
  <si>
    <t>birkin bags</t>
  </si>
  <si>
    <t>hermes evelyne bag</t>
  </si>
  <si>
    <t>cityback</t>
  </si>
  <si>
    <t>hermes lindy</t>
  </si>
  <si>
    <t>mini kelly</t>
  </si>
  <si>
    <t>hermes kelly 28</t>
  </si>
  <si>
    <t>hermes mini lindy</t>
  </si>
  <si>
    <t>hermes.com</t>
  </si>
  <si>
    <t>Possible to compete</t>
  </si>
  <si>
    <t>$549K</t>
  </si>
  <si>
    <t>272.2M</t>
  </si>
  <si>
    <t>13.1M</t>
  </si>
  <si>
    <t>l oreal</t>
  </si>
  <si>
    <t>l'orÃ©al</t>
  </si>
  <si>
    <t>loreal hair dye</t>
  </si>
  <si>
    <t>l'oreal</t>
  </si>
  <si>
    <t>perso</t>
  </si>
  <si>
    <t>perso.</t>
  </si>
  <si>
    <t>loreal hair color</t>
  </si>
  <si>
    <t>l'oreal metal detox</t>
  </si>
  <si>
    <t>loreal hair colors</t>
  </si>
  <si>
    <t>clarins l'oreal</t>
  </si>
  <si>
    <t>loreal</t>
  </si>
  <si>
    <t>loreal careers</t>
  </si>
  <si>
    <t>l orÃ©al</t>
  </si>
  <si>
    <t>matrix</t>
  </si>
  <si>
    <t>loreal logo</t>
  </si>
  <si>
    <t>does loreal test on animals</t>
  </si>
  <si>
    <t>loreal brands</t>
  </si>
  <si>
    <t>kerastase</t>
  </si>
  <si>
    <t>oreal</t>
  </si>
  <si>
    <t>loreal.com</t>
  </si>
  <si>
    <t>Switzerland</t>
  </si>
  <si>
    <t>United Kingdom</t>
  </si>
  <si>
    <t>Brazil</t>
  </si>
  <si>
    <t>Month</t>
  </si>
  <si>
    <t>Oct</t>
  </si>
  <si>
    <t>Nov</t>
  </si>
  <si>
    <t>Dec</t>
  </si>
  <si>
    <t>Jan</t>
  </si>
  <si>
    <t>Feb</t>
  </si>
  <si>
    <t>Mar</t>
  </si>
  <si>
    <t>Kering</t>
  </si>
  <si>
    <t>LVMH</t>
  </si>
  <si>
    <t>Market Data</t>
  </si>
  <si>
    <t>Traffic Data</t>
  </si>
  <si>
    <t>Traffic output</t>
  </si>
  <si>
    <t>Chart Title</t>
  </si>
  <si>
    <t>Data for chart</t>
  </si>
  <si>
    <t>Hermès</t>
  </si>
  <si>
    <t>L'Oréal</t>
  </si>
  <si>
    <t>Market output</t>
  </si>
  <si>
    <t>32.9M</t>
  </si>
  <si>
    <t>Market Trends and Data Insights for Luxury brands' website</t>
  </si>
  <si>
    <t>Dashboard provides an instant market overview and competitive digital insights that help businesses identify new market realities and emerging trends to discover growth opportunities.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</si>
</sst>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CC99FF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C7E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A5A5A5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/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 style="double">
        <color rgb="FF3F3F3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2" fillId="7" borderId="1" applyNumberFormat="0" applyAlignment="0" applyProtection="0"/>
  </cellStyleXfs>
  <cellXfs count="54">
    <xf numFmtId="0" fontId="0" fillId="0" borderId="0" xfId="0"/>
    <xf numFmtId="17" fontId="0" fillId="0" borderId="0" xfId="0" applyNumberFormat="1"/>
    <xf numFmtId="20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10" fontId="0" fillId="0" borderId="0" xfId="0" applyNumberFormat="1"/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0" fontId="5" fillId="4" borderId="0" xfId="0" applyNumberFormat="1" applyFont="1" applyFill="1"/>
    <xf numFmtId="10" fontId="5" fillId="0" borderId="0" xfId="0" applyNumberFormat="1" applyFont="1"/>
    <xf numFmtId="9" fontId="7" fillId="0" borderId="0" xfId="0" applyNumberFormat="1" applyFont="1"/>
    <xf numFmtId="9" fontId="3" fillId="0" borderId="0" xfId="0" applyNumberFormat="1" applyFont="1"/>
    <xf numFmtId="9" fontId="5" fillId="0" borderId="0" xfId="0" applyNumberFormat="1" applyFont="1"/>
    <xf numFmtId="0" fontId="0" fillId="0" borderId="0" xfId="0" applyAlignment="1">
      <alignment horizontal="center" vertical="center" wrapText="1"/>
    </xf>
    <xf numFmtId="0" fontId="2" fillId="5" borderId="0" xfId="2" applyFill="1"/>
    <xf numFmtId="9" fontId="8" fillId="0" borderId="0" xfId="0" applyNumberFormat="1" applyFont="1" applyAlignment="1">
      <alignment vertical="center"/>
    </xf>
    <xf numFmtId="0" fontId="4" fillId="5" borderId="0" xfId="0" applyFont="1" applyFill="1"/>
    <xf numFmtId="0" fontId="0" fillId="0" borderId="0" xfId="0" applyFont="1"/>
    <xf numFmtId="9" fontId="0" fillId="0" borderId="0" xfId="1" applyFont="1"/>
    <xf numFmtId="10" fontId="0" fillId="0" borderId="0" xfId="1" applyNumberFormat="1" applyFont="1"/>
    <xf numFmtId="0" fontId="0" fillId="5" borderId="0" xfId="0" applyFill="1"/>
    <xf numFmtId="0" fontId="2" fillId="6" borderId="0" xfId="2" applyFill="1"/>
    <xf numFmtId="0" fontId="2" fillId="8" borderId="0" xfId="2" applyFill="1"/>
    <xf numFmtId="0" fontId="2" fillId="6" borderId="0" xfId="2" applyFill="1" applyBorder="1"/>
    <xf numFmtId="0" fontId="0" fillId="8" borderId="0" xfId="0" applyFill="1"/>
    <xf numFmtId="9" fontId="0" fillId="8" borderId="0" xfId="1" applyFont="1" applyFill="1"/>
    <xf numFmtId="0" fontId="0" fillId="5" borderId="0" xfId="0" applyFill="1" applyAlignment="1"/>
    <xf numFmtId="0" fontId="17" fillId="6" borderId="1" xfId="3" applyFont="1" applyFill="1" applyAlignment="1">
      <alignment horizontal="center" vertical="center"/>
    </xf>
    <xf numFmtId="0" fontId="18" fillId="6" borderId="10" xfId="2" applyFont="1" applyFill="1" applyBorder="1" applyAlignment="1">
      <alignment horizontal="center" vertical="center" wrapText="1"/>
    </xf>
    <xf numFmtId="0" fontId="18" fillId="6" borderId="11" xfId="2" applyFont="1" applyFill="1" applyBorder="1" applyAlignment="1">
      <alignment horizontal="center" vertical="center" wrapText="1"/>
    </xf>
    <xf numFmtId="0" fontId="18" fillId="6" borderId="12" xfId="2" applyFont="1" applyFill="1" applyBorder="1" applyAlignment="1">
      <alignment horizontal="center" vertical="center" wrapText="1"/>
    </xf>
    <xf numFmtId="0" fontId="18" fillId="6" borderId="13" xfId="2" applyFont="1" applyFill="1" applyBorder="1" applyAlignment="1">
      <alignment horizontal="center" vertical="center" wrapText="1"/>
    </xf>
    <xf numFmtId="0" fontId="18" fillId="6" borderId="0" xfId="2" applyFont="1" applyFill="1" applyBorder="1" applyAlignment="1">
      <alignment horizontal="center" vertical="center" wrapText="1"/>
    </xf>
    <xf numFmtId="0" fontId="18" fillId="6" borderId="14" xfId="2" applyFont="1" applyFill="1" applyBorder="1" applyAlignment="1">
      <alignment horizontal="center" vertical="center" wrapText="1"/>
    </xf>
    <xf numFmtId="0" fontId="18" fillId="6" borderId="15" xfId="2" applyFont="1" applyFill="1" applyBorder="1" applyAlignment="1">
      <alignment horizontal="center" vertical="center" wrapText="1"/>
    </xf>
    <xf numFmtId="0" fontId="18" fillId="6" borderId="9" xfId="2" applyFont="1" applyFill="1" applyBorder="1" applyAlignment="1">
      <alignment horizontal="center" vertical="center" wrapText="1"/>
    </xf>
    <xf numFmtId="0" fontId="18" fillId="6" borderId="16" xfId="2" applyFont="1" applyFill="1" applyBorder="1" applyAlignment="1">
      <alignment horizontal="center" vertical="center" wrapText="1"/>
    </xf>
    <xf numFmtId="0" fontId="14" fillId="6" borderId="1" xfId="3" applyFont="1" applyFill="1" applyAlignment="1">
      <alignment horizontal="center" vertical="center"/>
    </xf>
    <xf numFmtId="0" fontId="14" fillId="6" borderId="8" xfId="3" applyFont="1" applyFill="1" applyBorder="1" applyAlignment="1">
      <alignment horizontal="center" vertical="center"/>
    </xf>
    <xf numFmtId="9" fontId="16" fillId="6" borderId="7" xfId="1" applyFont="1" applyFill="1" applyBorder="1" applyAlignment="1">
      <alignment horizontal="center" vertical="center"/>
    </xf>
    <xf numFmtId="0" fontId="13" fillId="6" borderId="8" xfId="3" applyFont="1" applyFill="1" applyBorder="1" applyAlignment="1">
      <alignment horizontal="center" vertical="center"/>
    </xf>
    <xf numFmtId="0" fontId="16" fillId="6" borderId="7" xfId="0" applyFont="1" applyFill="1" applyBorder="1" applyAlignment="1">
      <alignment horizontal="center" vertical="center"/>
    </xf>
    <xf numFmtId="0" fontId="15" fillId="6" borderId="4" xfId="3" applyFont="1" applyFill="1" applyBorder="1" applyAlignment="1">
      <alignment horizontal="center" vertical="center"/>
    </xf>
    <xf numFmtId="0" fontId="15" fillId="6" borderId="2" xfId="3" applyFont="1" applyFill="1" applyBorder="1" applyAlignment="1">
      <alignment horizontal="center" vertical="center"/>
    </xf>
    <xf numFmtId="0" fontId="15" fillId="6" borderId="5" xfId="3" applyFont="1" applyFill="1" applyBorder="1" applyAlignment="1">
      <alignment horizontal="center" vertical="center"/>
    </xf>
    <xf numFmtId="0" fontId="15" fillId="6" borderId="3" xfId="3" applyFont="1" applyFill="1" applyBorder="1" applyAlignment="1">
      <alignment horizontal="center" vertical="center"/>
    </xf>
    <xf numFmtId="0" fontId="15" fillId="6" borderId="0" xfId="3" applyFont="1" applyFill="1" applyBorder="1" applyAlignment="1">
      <alignment horizontal="center" vertical="center"/>
    </xf>
    <xf numFmtId="0" fontId="15" fillId="6" borderId="6" xfId="3" applyFont="1" applyFill="1" applyBorder="1" applyAlignment="1">
      <alignment horizontal="center" vertical="center"/>
    </xf>
    <xf numFmtId="0" fontId="15" fillId="6" borderId="1" xfId="3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/>
    </xf>
  </cellXfs>
  <cellStyles count="4">
    <cellStyle name="Check Cell" xfId="3" builtinId="23"/>
    <cellStyle name="Good" xfId="2" builtinId="26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66FF"/>
      <color rgb="FFE1C7EF"/>
      <color rgb="FF3D253C"/>
      <color rgb="FF9990A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Visits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Data!$AC$6</c:f>
              <c:strCache>
                <c:ptCount val="1"/>
                <c:pt idx="0">
                  <c:v>Desktop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Data!$AB$7:$AB$12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Data!$AC$7:$AC$12</c:f>
              <c:numCache>
                <c:formatCode>General</c:formatCode>
                <c:ptCount val="6"/>
                <c:pt idx="0">
                  <c:v>657819</c:v>
                </c:pt>
                <c:pt idx="1">
                  <c:v>645624</c:v>
                </c:pt>
                <c:pt idx="2">
                  <c:v>628795</c:v>
                </c:pt>
                <c:pt idx="3">
                  <c:v>615097</c:v>
                </c:pt>
                <c:pt idx="4">
                  <c:v>485565</c:v>
                </c:pt>
                <c:pt idx="5">
                  <c:v>579323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52-4A39-A668-E87EEF546EF4}"/>
            </c:ext>
          </c:extLst>
        </c:ser>
        <c:ser>
          <c:idx val="1"/>
          <c:order val="1"/>
          <c:tx>
            <c:strRef>
              <c:f>Data!$AD$6</c:f>
              <c:strCache>
                <c:ptCount val="1"/>
                <c:pt idx="0">
                  <c:v>Mobile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Data!$AB$7:$AB$12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Data!$AD$7:$AD$12</c:f>
              <c:numCache>
                <c:formatCode>General</c:formatCode>
                <c:ptCount val="6"/>
                <c:pt idx="0">
                  <c:v>487836</c:v>
                </c:pt>
                <c:pt idx="1">
                  <c:v>1297693</c:v>
                </c:pt>
                <c:pt idx="2">
                  <c:v>582550</c:v>
                </c:pt>
                <c:pt idx="3">
                  <c:v>402593</c:v>
                </c:pt>
                <c:pt idx="4">
                  <c:v>514983</c:v>
                </c:pt>
                <c:pt idx="5">
                  <c:v>685129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A52-4A39-A668-E87EEF546E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0237064"/>
        <c:axId val="370237448"/>
      </c:barChart>
      <c:catAx>
        <c:axId val="370237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37448"/>
        <c:crosses val="autoZero"/>
        <c:auto val="1"/>
        <c:lblAlgn val="ctr"/>
        <c:lblOffset val="100"/>
        <c:noMultiLvlLbl val="0"/>
      </c:catAx>
      <c:valAx>
        <c:axId val="37023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37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aseline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Traffic Share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207-43C7-BE42-4B8E41552E2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207-43C7-BE42-4B8E41552E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Data!$AC$13:$AD$13</c:f>
              <c:strCache>
                <c:ptCount val="2"/>
                <c:pt idx="0">
                  <c:v>Desktop</c:v>
                </c:pt>
                <c:pt idx="1">
                  <c:v>Mobile</c:v>
                </c:pt>
              </c:strCache>
            </c:strRef>
          </c:cat>
          <c:val>
            <c:numRef>
              <c:f>Data!$AC$14:$AD$14</c:f>
              <c:numCache>
                <c:formatCode>0%</c:formatCode>
                <c:ptCount val="2"/>
                <c:pt idx="0">
                  <c:v>0.46</c:v>
                </c:pt>
                <c:pt idx="1">
                  <c:v>0.54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207-43C7-BE42-4B8E41552E2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aseline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Unique Visitors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Data!$AE$6</c:f>
              <c:strCache>
                <c:ptCount val="1"/>
                <c:pt idx="0">
                  <c:v>Desktop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Data!$AB$7:$AB$12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Data!$AE$7:$AE$12</c:f>
              <c:numCache>
                <c:formatCode>General</c:formatCode>
                <c:ptCount val="6"/>
                <c:pt idx="0">
                  <c:v>400695</c:v>
                </c:pt>
                <c:pt idx="1">
                  <c:v>404878</c:v>
                </c:pt>
                <c:pt idx="2">
                  <c:v>305431</c:v>
                </c:pt>
                <c:pt idx="3">
                  <c:v>409653</c:v>
                </c:pt>
                <c:pt idx="4">
                  <c:v>337602</c:v>
                </c:pt>
                <c:pt idx="5">
                  <c:v>514166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1FA-4BAD-A767-82EE5051DD5F}"/>
            </c:ext>
          </c:extLst>
        </c:ser>
        <c:ser>
          <c:idx val="1"/>
          <c:order val="1"/>
          <c:tx>
            <c:strRef>
              <c:f>Data!$AF$6</c:f>
              <c:strCache>
                <c:ptCount val="1"/>
                <c:pt idx="0">
                  <c:v>Mobile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Data!$AB$7:$AB$12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Data!$AF$7:$AF$12</c:f>
              <c:numCache>
                <c:formatCode>General</c:formatCode>
                <c:ptCount val="6"/>
                <c:pt idx="0">
                  <c:v>396594</c:v>
                </c:pt>
                <c:pt idx="1">
                  <c:v>400792</c:v>
                </c:pt>
                <c:pt idx="2">
                  <c:v>223406</c:v>
                </c:pt>
                <c:pt idx="3">
                  <c:v>337840</c:v>
                </c:pt>
                <c:pt idx="4">
                  <c:v>327526</c:v>
                </c:pt>
                <c:pt idx="5">
                  <c:v>514166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1FA-4BAD-A767-82EE5051DD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69929512"/>
        <c:axId val="369947832"/>
      </c:barChart>
      <c:catAx>
        <c:axId val="369929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47832"/>
        <c:crosses val="autoZero"/>
        <c:auto val="1"/>
        <c:lblAlgn val="ctr"/>
        <c:lblOffset val="100"/>
        <c:noMultiLvlLbl val="0"/>
      </c:catAx>
      <c:valAx>
        <c:axId val="36994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29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aseline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Traffic Sources by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2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Data!$AC$15:$AG$15</c:f>
              <c:strCache>
                <c:ptCount val="5"/>
                <c:pt idx="0">
                  <c:v>Direct</c:v>
                </c:pt>
                <c:pt idx="1">
                  <c:v>Referral</c:v>
                </c:pt>
                <c:pt idx="2">
                  <c:v>Search</c:v>
                </c:pt>
                <c:pt idx="3">
                  <c:v>Social</c:v>
                </c:pt>
                <c:pt idx="4">
                  <c:v>Paid</c:v>
                </c:pt>
              </c:strCache>
            </c:strRef>
          </c:cat>
          <c:val>
            <c:numRef>
              <c:f>Data!$AC$16:$AG$16</c:f>
              <c:numCache>
                <c:formatCode>0.00%</c:formatCode>
                <c:ptCount val="5"/>
                <c:pt idx="0">
                  <c:v>0.55259999999999998</c:v>
                </c:pt>
                <c:pt idx="1">
                  <c:v>6.0900000000000003E-2</c:v>
                </c:pt>
                <c:pt idx="2">
                  <c:v>0.3417</c:v>
                </c:pt>
                <c:pt idx="3">
                  <c:v>4.48E-2</c:v>
                </c:pt>
                <c:pt idx="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E8-429A-98F3-74E29E65926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69949752"/>
        <c:axId val="371195936"/>
      </c:lineChart>
      <c:catAx>
        <c:axId val="3699497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2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195936"/>
        <c:crosses val="autoZero"/>
        <c:auto val="1"/>
        <c:lblAlgn val="ctr"/>
        <c:lblOffset val="100"/>
        <c:noMultiLvlLbl val="0"/>
      </c:catAx>
      <c:valAx>
        <c:axId val="371195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2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4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920" baseline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Domain vs Market: Growth by Sources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Data!$AC$29</c:f>
              <c:strCache>
                <c:ptCount val="1"/>
                <c:pt idx="0">
                  <c:v>Market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Data!$AB$30:$AB$33</c:f>
              <c:strCache>
                <c:ptCount val="4"/>
                <c:pt idx="0">
                  <c:v>Direct</c:v>
                </c:pt>
                <c:pt idx="1">
                  <c:v>Referral</c:v>
                </c:pt>
                <c:pt idx="2">
                  <c:v>Search</c:v>
                </c:pt>
                <c:pt idx="3">
                  <c:v>Social</c:v>
                </c:pt>
              </c:strCache>
            </c:strRef>
          </c:cat>
          <c:val>
            <c:numRef>
              <c:f>Data!$AC$30:$AC$33</c:f>
              <c:numCache>
                <c:formatCode>0.00%</c:formatCode>
                <c:ptCount val="4"/>
                <c:pt idx="0">
                  <c:v>0.85899999999999999</c:v>
                </c:pt>
                <c:pt idx="1">
                  <c:v>0</c:v>
                </c:pt>
                <c:pt idx="2">
                  <c:v>9.0499999999999997E-2</c:v>
                </c:pt>
                <c:pt idx="3">
                  <c:v>0.25990000000000002</c:v>
                </c:pt>
              </c:numCache>
            </c:numRef>
          </c:val>
        </c:ser>
        <c:ser>
          <c:idx val="1"/>
          <c:order val="1"/>
          <c:tx>
            <c:strRef>
              <c:f>Data!$AD$29</c:f>
              <c:strCache>
                <c:ptCount val="1"/>
                <c:pt idx="0">
                  <c:v>loreal.com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Data!$AB$30:$AB$33</c:f>
              <c:strCache>
                <c:ptCount val="4"/>
                <c:pt idx="0">
                  <c:v>Direct</c:v>
                </c:pt>
                <c:pt idx="1">
                  <c:v>Referral</c:v>
                </c:pt>
                <c:pt idx="2">
                  <c:v>Search</c:v>
                </c:pt>
                <c:pt idx="3">
                  <c:v>Social</c:v>
                </c:pt>
              </c:strCache>
            </c:strRef>
          </c:cat>
          <c:val>
            <c:numRef>
              <c:f>Data!$AD$30:$AD$33</c:f>
              <c:numCache>
                <c:formatCode>0.00%</c:formatCode>
                <c:ptCount val="4"/>
                <c:pt idx="0">
                  <c:v>0.49430000000000002</c:v>
                </c:pt>
                <c:pt idx="1">
                  <c:v>0</c:v>
                </c:pt>
                <c:pt idx="2">
                  <c:v>0</c:v>
                </c:pt>
                <c:pt idx="3">
                  <c:v>0.15859999999999999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69979600"/>
        <c:axId val="369980776"/>
      </c:barChart>
      <c:catAx>
        <c:axId val="369979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80776"/>
        <c:crosses val="autoZero"/>
        <c:auto val="1"/>
        <c:lblAlgn val="ctr"/>
        <c:lblOffset val="100"/>
        <c:noMultiLvlLbl val="0"/>
      </c:catAx>
      <c:valAx>
        <c:axId val="36998077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36997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aseline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Domain vs Market: Audience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Data!$AG$29</c:f>
              <c:strCache>
                <c:ptCount val="1"/>
                <c:pt idx="0">
                  <c:v>Market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Data!$AF$30:$AF$35</c:f>
              <c:strCache>
                <c:ptCount val="6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55-64</c:v>
                </c:pt>
                <c:pt idx="5">
                  <c:v>65+</c:v>
                </c:pt>
              </c:strCache>
            </c:strRef>
          </c:cat>
          <c:val>
            <c:numRef>
              <c:f>Data!$AG$30:$AG$35</c:f>
              <c:numCache>
                <c:formatCode>0.00%</c:formatCode>
                <c:ptCount val="6"/>
                <c:pt idx="0">
                  <c:v>0.22109999999999999</c:v>
                </c:pt>
                <c:pt idx="1">
                  <c:v>0.29799999999999999</c:v>
                </c:pt>
                <c:pt idx="2">
                  <c:v>0.16869999999999999</c:v>
                </c:pt>
                <c:pt idx="3">
                  <c:v>0.1414</c:v>
                </c:pt>
                <c:pt idx="4">
                  <c:v>0.10249999999999999</c:v>
                </c:pt>
                <c:pt idx="5">
                  <c:v>6.83E-2</c:v>
                </c:pt>
              </c:numCache>
            </c:numRef>
          </c:val>
        </c:ser>
        <c:ser>
          <c:idx val="1"/>
          <c:order val="1"/>
          <c:tx>
            <c:strRef>
              <c:f>Data!$AH$29</c:f>
              <c:strCache>
                <c:ptCount val="1"/>
                <c:pt idx="0">
                  <c:v>loreal.com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Data!$AF$30:$AF$35</c:f>
              <c:strCache>
                <c:ptCount val="6"/>
                <c:pt idx="0">
                  <c:v>18-24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55-64</c:v>
                </c:pt>
                <c:pt idx="5">
                  <c:v>65+</c:v>
                </c:pt>
              </c:strCache>
            </c:strRef>
          </c:cat>
          <c:val>
            <c:numRef>
              <c:f>Data!$AH$30:$AH$35</c:f>
              <c:numCache>
                <c:formatCode>0.00%</c:formatCode>
                <c:ptCount val="6"/>
                <c:pt idx="0">
                  <c:v>0.25829999999999997</c:v>
                </c:pt>
                <c:pt idx="1">
                  <c:v>0.30759999999999998</c:v>
                </c:pt>
                <c:pt idx="2">
                  <c:v>0.16159999999999999</c:v>
                </c:pt>
                <c:pt idx="3">
                  <c:v>0.12920000000000001</c:v>
                </c:pt>
                <c:pt idx="4">
                  <c:v>8.6900000000000005E-2</c:v>
                </c:pt>
                <c:pt idx="5">
                  <c:v>5.6300000000000003E-2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69977640"/>
        <c:axId val="371345520"/>
      </c:barChart>
      <c:catAx>
        <c:axId val="369977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 b="0" i="0" u="none" strike="noStrike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Age </a:t>
                </a:r>
                <a:endParaRPr lang="en-IN" sz="1200" b="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45520"/>
        <c:crosses val="autoZero"/>
        <c:auto val="1"/>
        <c:lblAlgn val="ctr"/>
        <c:lblOffset val="100"/>
        <c:noMultiLvlLbl val="0"/>
      </c:catAx>
      <c:valAx>
        <c:axId val="37134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7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aseline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Radio" firstButton="1" fmlaLink="Data!$AC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firstButton="1" fmlaLink="Data!$AC$23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ta!A1"/><Relationship Id="rId2" Type="http://schemas.openxmlformats.org/officeDocument/2006/relationships/hyperlink" Target="#'Traffic Analytics'!A1"/><Relationship Id="rId1" Type="http://schemas.openxmlformats.org/officeDocument/2006/relationships/hyperlink" Target="#'Market Explorer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Market Explorer'!A1"/><Relationship Id="rId5" Type="http://schemas.openxmlformats.org/officeDocument/2006/relationships/hyperlink" Target="#Home!A1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518160</xdr:colOff>
      <xdr:row>21</xdr:row>
      <xdr:rowOff>129540</xdr:rowOff>
    </xdr:from>
    <xdr:to>
      <xdr:col>13</xdr:col>
      <xdr:colOff>53340</xdr:colOff>
      <xdr:row>23</xdr:row>
      <xdr:rowOff>38100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6614160" y="3970020"/>
          <a:ext cx="1363980" cy="274320"/>
        </a:xfrm>
        <a:prstGeom prst="roundRect">
          <a:avLst/>
        </a:prstGeom>
        <a:solidFill>
          <a:srgbClr val="CC66FF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Verdana" panose="020B0604030504040204" pitchFamily="34" charset="0"/>
              <a:ea typeface="Verdana" panose="020B0604030504040204" pitchFamily="34" charset="0"/>
            </a:rPr>
            <a:t>Market</a:t>
          </a:r>
          <a:r>
            <a:rPr lang="en-IN" sz="1100" b="1" baseline="0">
              <a:latin typeface="Verdana" panose="020B0604030504040204" pitchFamily="34" charset="0"/>
              <a:ea typeface="Verdana" panose="020B0604030504040204" pitchFamily="34" charset="0"/>
            </a:rPr>
            <a:t> report</a:t>
          </a:r>
          <a:endParaRPr lang="en-IN" sz="1100" b="1"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>
    <xdr:from>
      <xdr:col>7</xdr:col>
      <xdr:colOff>83820</xdr:colOff>
      <xdr:row>21</xdr:row>
      <xdr:rowOff>129540</xdr:rowOff>
    </xdr:from>
    <xdr:to>
      <xdr:col>10</xdr:col>
      <xdr:colOff>251460</xdr:colOff>
      <xdr:row>23</xdr:row>
      <xdr:rowOff>38100</xdr:rowOff>
    </xdr:to>
    <xdr:sp macro="" textlink="">
      <xdr:nvSpPr>
        <xdr:cNvPr id="11" name="Rounded Rectangle 10">
          <a:hlinkClick xmlns:r="http://schemas.openxmlformats.org/officeDocument/2006/relationships" r:id="rId2"/>
        </xdr:cNvPr>
        <xdr:cNvSpPr/>
      </xdr:nvSpPr>
      <xdr:spPr>
        <a:xfrm>
          <a:off x="4351020" y="3970020"/>
          <a:ext cx="1996440" cy="274320"/>
        </a:xfrm>
        <a:prstGeom prst="roundRect">
          <a:avLst/>
        </a:prstGeom>
        <a:solidFill>
          <a:srgbClr val="CC66FF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Verdana" panose="020B0604030504040204" pitchFamily="34" charset="0"/>
              <a:ea typeface="Verdana" panose="020B0604030504040204" pitchFamily="34" charset="0"/>
            </a:rPr>
            <a:t>Domain Traffic Report</a:t>
          </a:r>
        </a:p>
      </xdr:txBody>
    </xdr:sp>
    <xdr:clientData/>
  </xdr:twoCellAnchor>
  <xdr:twoCellAnchor>
    <xdr:from>
      <xdr:col>13</xdr:col>
      <xdr:colOff>335280</xdr:colOff>
      <xdr:row>21</xdr:row>
      <xdr:rowOff>129540</xdr:rowOff>
    </xdr:from>
    <xdr:to>
      <xdr:col>15</xdr:col>
      <xdr:colOff>480060</xdr:colOff>
      <xdr:row>23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3"/>
        </xdr:cNvPr>
        <xdr:cNvSpPr/>
      </xdr:nvSpPr>
      <xdr:spPr>
        <a:xfrm>
          <a:off x="8260080" y="3970020"/>
          <a:ext cx="1363980" cy="274320"/>
        </a:xfrm>
        <a:prstGeom prst="roundRect">
          <a:avLst/>
        </a:prstGeom>
        <a:solidFill>
          <a:srgbClr val="CC66FF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Verdana" panose="020B0604030504040204" pitchFamily="34" charset="0"/>
              <a:ea typeface="Verdana" panose="020B0604030504040204" pitchFamily="34" charset="0"/>
            </a:rPr>
            <a:t>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137160</xdr:colOff>
      <xdr:row>4</xdr:row>
      <xdr:rowOff>76200</xdr:rowOff>
    </xdr:from>
    <xdr:to>
      <xdr:col>9</xdr:col>
      <xdr:colOff>792480</xdr:colOff>
      <xdr:row>16</xdr:row>
      <xdr:rowOff>129540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198120</xdr:colOff>
      <xdr:row>4</xdr:row>
      <xdr:rowOff>99060</xdr:rowOff>
    </xdr:from>
    <xdr:to>
      <xdr:col>22</xdr:col>
      <xdr:colOff>274320</xdr:colOff>
      <xdr:row>29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876300</xdr:colOff>
      <xdr:row>4</xdr:row>
      <xdr:rowOff>76200</xdr:rowOff>
    </xdr:from>
    <xdr:to>
      <xdr:col>18</xdr:col>
      <xdr:colOff>22860</xdr:colOff>
      <xdr:row>29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17</xdr:row>
      <xdr:rowOff>30480</xdr:rowOff>
    </xdr:from>
    <xdr:to>
      <xdr:col>9</xdr:col>
      <xdr:colOff>769620</xdr:colOff>
      <xdr:row>29</xdr:row>
      <xdr:rowOff>83820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</xdr:row>
          <xdr:rowOff>68580</xdr:rowOff>
        </xdr:from>
        <xdr:to>
          <xdr:col>7</xdr:col>
          <xdr:colOff>320040</xdr:colOff>
          <xdr:row>2</xdr:row>
          <xdr:rowOff>106680</xdr:rowOff>
        </xdr:to>
        <xdr:sp macro="" textlink="">
          <xdr:nvSpPr>
            <xdr:cNvPr id="5139" name="Option Button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3300" mc:Ignorable="a14" a14:legacySpreadsheetColorIndex="60"/>
                  </a:solidFill>
                </a14:hiddenFill>
              </a:ext>
              <a:ext uri="{91240B29-F687-4F45-9708-019B960494DF}">
                <a14:hiddenLine w="9525">
                  <a:solidFill>
                    <a:srgbClr val="660066" mc:Ignorable="a14" a14:legacySpreadsheetColorIndex="2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137160</xdr:colOff>
          <xdr:row>1</xdr:row>
          <xdr:rowOff>68580</xdr:rowOff>
        </xdr:from>
        <xdr:to>
          <xdr:col>8</xdr:col>
          <xdr:colOff>419100</xdr:colOff>
          <xdr:row>2</xdr:row>
          <xdr:rowOff>106680</xdr:rowOff>
        </xdr:to>
        <xdr:sp macro="" textlink="">
          <xdr:nvSpPr>
            <xdr:cNvPr id="5140" name="Option Button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LVMH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1</xdr:row>
          <xdr:rowOff>60960</xdr:rowOff>
        </xdr:from>
        <xdr:to>
          <xdr:col>9</xdr:col>
          <xdr:colOff>571500</xdr:colOff>
          <xdr:row>2</xdr:row>
          <xdr:rowOff>99060</xdr:rowOff>
        </xdr:to>
        <xdr:sp macro="" textlink="">
          <xdr:nvSpPr>
            <xdr:cNvPr id="5141" name="Option Button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Hermès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</xdr:row>
          <xdr:rowOff>68580</xdr:rowOff>
        </xdr:from>
        <xdr:to>
          <xdr:col>10</xdr:col>
          <xdr:colOff>297180</xdr:colOff>
          <xdr:row>2</xdr:row>
          <xdr:rowOff>106680</xdr:rowOff>
        </xdr:to>
        <xdr:sp macro="" textlink="">
          <xdr:nvSpPr>
            <xdr:cNvPr id="5142" name="Option Button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L'Oréal</a:t>
              </a:r>
            </a:p>
          </xdr:txBody>
        </xdr:sp>
        <xdr:clientData/>
      </xdr:twoCellAnchor>
    </mc:Choice>
    <mc:Fallback/>
  </mc:AlternateContent>
  <xdr:twoCellAnchor>
    <xdr:from>
      <xdr:col>14</xdr:col>
      <xdr:colOff>297180</xdr:colOff>
      <xdr:row>1</xdr:row>
      <xdr:rowOff>15240</xdr:rowOff>
    </xdr:from>
    <xdr:to>
      <xdr:col>16</xdr:col>
      <xdr:colOff>114300</xdr:colOff>
      <xdr:row>2</xdr:row>
      <xdr:rowOff>129540</xdr:rowOff>
    </xdr:to>
    <xdr:sp macro="" textlink="">
      <xdr:nvSpPr>
        <xdr:cNvPr id="2" name="Rounded Rectangle 1">
          <a:hlinkClick xmlns:r="http://schemas.openxmlformats.org/officeDocument/2006/relationships" r:id="rId5"/>
        </xdr:cNvPr>
        <xdr:cNvSpPr/>
      </xdr:nvSpPr>
      <xdr:spPr>
        <a:xfrm>
          <a:off x="9174480" y="198120"/>
          <a:ext cx="1036320" cy="297180"/>
        </a:xfrm>
        <a:prstGeom prst="roundRect">
          <a:avLst/>
        </a:prstGeom>
        <a:solidFill>
          <a:srgbClr val="E1C7E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  <xdr:twoCellAnchor>
    <xdr:from>
      <xdr:col>16</xdr:col>
      <xdr:colOff>266700</xdr:colOff>
      <xdr:row>1</xdr:row>
      <xdr:rowOff>22860</xdr:rowOff>
    </xdr:from>
    <xdr:to>
      <xdr:col>18</xdr:col>
      <xdr:colOff>518160</xdr:colOff>
      <xdr:row>2</xdr:row>
      <xdr:rowOff>137160</xdr:rowOff>
    </xdr:to>
    <xdr:sp macro="" textlink="">
      <xdr:nvSpPr>
        <xdr:cNvPr id="3" name="Rounded Rectangle 2">
          <a:hlinkClick xmlns:r="http://schemas.openxmlformats.org/officeDocument/2006/relationships" r:id="rId6"/>
        </xdr:cNvPr>
        <xdr:cNvSpPr/>
      </xdr:nvSpPr>
      <xdr:spPr>
        <a:xfrm>
          <a:off x="10363200" y="205740"/>
          <a:ext cx="1470660" cy="297180"/>
        </a:xfrm>
        <a:prstGeom prst="roundRect">
          <a:avLst/>
        </a:prstGeom>
        <a:solidFill>
          <a:srgbClr val="E1C7E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Market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</xdr:row>
          <xdr:rowOff>53340</xdr:rowOff>
        </xdr:from>
        <xdr:to>
          <xdr:col>5</xdr:col>
          <xdr:colOff>121920</xdr:colOff>
          <xdr:row>2</xdr:row>
          <xdr:rowOff>106680</xdr:rowOff>
        </xdr:to>
        <xdr:sp macro="" textlink="">
          <xdr:nvSpPr>
            <xdr:cNvPr id="13314" name="Option 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1</xdr:row>
          <xdr:rowOff>68580</xdr:rowOff>
        </xdr:from>
        <xdr:to>
          <xdr:col>6</xdr:col>
          <xdr:colOff>205740</xdr:colOff>
          <xdr:row>2</xdr:row>
          <xdr:rowOff>106680</xdr:rowOff>
        </xdr:to>
        <xdr:sp macro="" textlink="">
          <xdr:nvSpPr>
            <xdr:cNvPr id="13315" name="Option 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LVMH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510540</xdr:colOff>
          <xdr:row>1</xdr:row>
          <xdr:rowOff>68580</xdr:rowOff>
        </xdr:from>
        <xdr:to>
          <xdr:col>7</xdr:col>
          <xdr:colOff>106680</xdr:colOff>
          <xdr:row>2</xdr:row>
          <xdr:rowOff>106680</xdr:rowOff>
        </xdr:to>
        <xdr:sp macro="" textlink="">
          <xdr:nvSpPr>
            <xdr:cNvPr id="13316" name="Option 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Hermès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472440</xdr:colOff>
          <xdr:row>1</xdr:row>
          <xdr:rowOff>68580</xdr:rowOff>
        </xdr:from>
        <xdr:to>
          <xdr:col>7</xdr:col>
          <xdr:colOff>518160</xdr:colOff>
          <xdr:row>2</xdr:row>
          <xdr:rowOff>106680</xdr:rowOff>
        </xdr:to>
        <xdr:sp macro="" textlink="">
          <xdr:nvSpPr>
            <xdr:cNvPr id="13317" name="Option 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L'Oréal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</xdr:row>
      <xdr:rowOff>95250</xdr:rowOff>
    </xdr:from>
    <xdr:to>
      <xdr:col>10</xdr:col>
      <xdr:colOff>411480</xdr:colOff>
      <xdr:row>28</xdr:row>
      <xdr:rowOff>99060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571500</xdr:colOff>
      <xdr:row>11</xdr:row>
      <xdr:rowOff>95250</xdr:rowOff>
    </xdr:from>
    <xdr:to>
      <xdr:col>21</xdr:col>
      <xdr:colOff>601980</xdr:colOff>
      <xdr:row>28</xdr:row>
      <xdr:rowOff>83820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457200</xdr:colOff>
      <xdr:row>1</xdr:row>
      <xdr:rowOff>53340</xdr:rowOff>
    </xdr:from>
    <xdr:to>
      <xdr:col>14</xdr:col>
      <xdr:colOff>419100</xdr:colOff>
      <xdr:row>3</xdr:row>
      <xdr:rowOff>0</xdr:rowOff>
    </xdr:to>
    <xdr:sp macro="" textlink="">
      <xdr:nvSpPr>
        <xdr:cNvPr id="2" name="Rounded Rectangle 1">
          <a:hlinkClick xmlns:r="http://schemas.openxmlformats.org/officeDocument/2006/relationships" r:id="rId3"/>
        </xdr:cNvPr>
        <xdr:cNvSpPr/>
      </xdr:nvSpPr>
      <xdr:spPr>
        <a:xfrm>
          <a:off x="8130540" y="236220"/>
          <a:ext cx="1181100" cy="312420"/>
        </a:xfrm>
        <a:prstGeom prst="roundRect">
          <a:avLst/>
        </a:prstGeom>
        <a:solidFill>
          <a:srgbClr val="E1C7E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213360</xdr:colOff>
          <xdr:row>1</xdr:row>
          <xdr:rowOff>167640</xdr:rowOff>
        </xdr:from>
        <xdr:to>
          <xdr:col>24</xdr:col>
          <xdr:colOff>121920</xdr:colOff>
          <xdr:row>3</xdr:row>
          <xdr:rowOff>22860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CC99FF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7:S26"/>
  <sheetViews>
    <sheetView tabSelected="1" workbookViewId="0">
      <selection activeCell="F23" sqref="F23"/>
    </sheetView>
  </sheetViews>
  <sheetFormatPr defaultRowHeight="14.4" x14ac:dyDescent="0.3"/>
  <cols>
    <col min="1" max="16384" width="8.88671875" style="23"/>
  </cols>
  <sheetData>
    <row r="7" spans="5:19" x14ac:dyDescent="0.3"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5:19" x14ac:dyDescent="0.3"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5:19" x14ac:dyDescent="0.3"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5:19" x14ac:dyDescent="0.3"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5:19" x14ac:dyDescent="0.3"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5:19" ht="15" thickBot="1" x14ac:dyDescent="0.35">
      <c r="E12" s="16"/>
      <c r="F12" s="16"/>
      <c r="R12" s="16"/>
      <c r="S12" s="16"/>
    </row>
    <row r="13" spans="5:19" ht="14.4" customHeight="1" thickTop="1" thickBot="1" x14ac:dyDescent="0.35">
      <c r="E13" s="16"/>
      <c r="F13" s="16"/>
      <c r="H13" s="29" t="s">
        <v>165</v>
      </c>
      <c r="I13" s="29"/>
      <c r="J13" s="29"/>
      <c r="K13" s="29"/>
      <c r="L13" s="29"/>
      <c r="M13" s="29"/>
      <c r="N13" s="29"/>
      <c r="O13" s="29"/>
      <c r="P13" s="29"/>
      <c r="R13" s="16"/>
      <c r="S13" s="16"/>
    </row>
    <row r="14" spans="5:19" ht="15" thickTop="1" x14ac:dyDescent="0.3">
      <c r="E14" s="16"/>
      <c r="F14" s="16"/>
      <c r="R14" s="16"/>
      <c r="S14" s="16"/>
    </row>
    <row r="15" spans="5:19" ht="14.4" customHeight="1" x14ac:dyDescent="0.3">
      <c r="E15" s="16"/>
      <c r="F15" s="16"/>
      <c r="H15" s="30" t="s">
        <v>166</v>
      </c>
      <c r="I15" s="31"/>
      <c r="J15" s="31"/>
      <c r="K15" s="31"/>
      <c r="L15" s="31"/>
      <c r="M15" s="31"/>
      <c r="N15" s="31"/>
      <c r="O15" s="31"/>
      <c r="P15" s="32"/>
      <c r="R15" s="16"/>
      <c r="S15" s="16"/>
    </row>
    <row r="16" spans="5:19" ht="14.4" customHeight="1" x14ac:dyDescent="0.3">
      <c r="E16" s="16"/>
      <c r="F16" s="16"/>
      <c r="H16" s="33"/>
      <c r="I16" s="34"/>
      <c r="J16" s="34"/>
      <c r="K16" s="34"/>
      <c r="L16" s="34"/>
      <c r="M16" s="34"/>
      <c r="N16" s="34"/>
      <c r="O16" s="34"/>
      <c r="P16" s="35"/>
      <c r="R16" s="16"/>
      <c r="S16" s="16"/>
    </row>
    <row r="17" spans="5:19" ht="14.4" customHeight="1" x14ac:dyDescent="0.3">
      <c r="E17" s="16"/>
      <c r="F17" s="16"/>
      <c r="H17" s="33"/>
      <c r="I17" s="34"/>
      <c r="J17" s="34"/>
      <c r="K17" s="34"/>
      <c r="L17" s="34"/>
      <c r="M17" s="34"/>
      <c r="N17" s="34"/>
      <c r="O17" s="34"/>
      <c r="P17" s="35"/>
      <c r="R17" s="16"/>
      <c r="S17" s="16"/>
    </row>
    <row r="18" spans="5:19" ht="14.4" customHeight="1" x14ac:dyDescent="0.3">
      <c r="E18" s="16"/>
      <c r="F18" s="16"/>
      <c r="H18" s="33"/>
      <c r="I18" s="34"/>
      <c r="J18" s="34"/>
      <c r="K18" s="34"/>
      <c r="L18" s="34"/>
      <c r="M18" s="34"/>
      <c r="N18" s="34"/>
      <c r="O18" s="34"/>
      <c r="P18" s="35"/>
      <c r="R18" s="16"/>
      <c r="S18" s="16"/>
    </row>
    <row r="19" spans="5:19" ht="14.4" customHeight="1" x14ac:dyDescent="0.3">
      <c r="E19" s="16"/>
      <c r="F19" s="16"/>
      <c r="H19" s="33"/>
      <c r="I19" s="34"/>
      <c r="J19" s="34"/>
      <c r="K19" s="34"/>
      <c r="L19" s="34"/>
      <c r="M19" s="34"/>
      <c r="N19" s="34"/>
      <c r="O19" s="34"/>
      <c r="P19" s="35"/>
      <c r="R19" s="16"/>
      <c r="S19" s="16"/>
    </row>
    <row r="20" spans="5:19" ht="14.4" customHeight="1" x14ac:dyDescent="0.3">
      <c r="E20" s="16"/>
      <c r="F20" s="16"/>
      <c r="H20" s="36"/>
      <c r="I20" s="37"/>
      <c r="J20" s="37"/>
      <c r="K20" s="37"/>
      <c r="L20" s="37"/>
      <c r="M20" s="37"/>
      <c r="N20" s="37"/>
      <c r="O20" s="37"/>
      <c r="P20" s="38"/>
      <c r="R20" s="16"/>
      <c r="S20" s="16"/>
    </row>
    <row r="21" spans="5:19" x14ac:dyDescent="0.3">
      <c r="E21" s="16"/>
      <c r="F21" s="16"/>
      <c r="R21" s="16"/>
      <c r="S21" s="16"/>
    </row>
    <row r="22" spans="5:19" x14ac:dyDescent="0.3"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5:19" x14ac:dyDescent="0.3"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5:19" x14ac:dyDescent="0.3"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5:19" x14ac:dyDescent="0.3"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5:19" x14ac:dyDescent="0.3"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</sheetData>
  <mergeCells count="2">
    <mergeCell ref="H13:P13"/>
    <mergeCell ref="H15:P2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G2:J3"/>
  <sheetViews>
    <sheetView workbookViewId="0">
      <selection activeCell="U3" sqref="U3"/>
    </sheetView>
  </sheetViews>
  <sheetFormatPr defaultRowHeight="14.4" x14ac:dyDescent="0.3"/>
  <cols>
    <col min="1" max="9" width="8.88671875" style="24"/>
    <col min="10" max="10" width="13.88671875" style="24" customWidth="1"/>
    <col min="11" max="16384" width="8.88671875" style="24"/>
  </cols>
  <sheetData>
    <row r="2" spans="7:10" x14ac:dyDescent="0.3">
      <c r="G2" s="23"/>
      <c r="H2" s="23"/>
      <c r="I2" s="23"/>
      <c r="J2" s="23"/>
    </row>
    <row r="3" spans="7:10" x14ac:dyDescent="0.3">
      <c r="G3" s="23"/>
      <c r="H3" s="23"/>
      <c r="I3" s="23"/>
      <c r="J3" s="2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9" r:id="rId4" name="Option Button 19">
              <controlPr defaultSize="0" autoFill="0" autoLine="0" autoPict="0">
                <anchor moveWithCells="1">
                  <from>
                    <xdr:col>6</xdr:col>
                    <xdr:colOff>137160</xdr:colOff>
                    <xdr:row>1</xdr:row>
                    <xdr:rowOff>68580</xdr:rowOff>
                  </from>
                  <to>
                    <xdr:col>7</xdr:col>
                    <xdr:colOff>320040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5" name="Option Button 20">
              <controlPr defaultSize="0" autoFill="0" autoLine="0" autoPict="0">
                <anchor moveWithCells="1">
                  <from>
                    <xdr:col>7</xdr:col>
                    <xdr:colOff>137160</xdr:colOff>
                    <xdr:row>1</xdr:row>
                    <xdr:rowOff>68580</xdr:rowOff>
                  </from>
                  <to>
                    <xdr:col>8</xdr:col>
                    <xdr:colOff>419100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6" name="Option Button 21">
              <controlPr defaultSize="0" autoFill="0" autoLine="0" autoPict="0">
                <anchor moveWithCells="1">
                  <from>
                    <xdr:col>8</xdr:col>
                    <xdr:colOff>220980</xdr:colOff>
                    <xdr:row>1</xdr:row>
                    <xdr:rowOff>60960</xdr:rowOff>
                  </from>
                  <to>
                    <xdr:col>9</xdr:col>
                    <xdr:colOff>571500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7" name="Option Button 22">
              <controlPr defaultSize="0" autoFill="0" autoLine="0" autoPict="0">
                <anchor moveWithCells="1">
                  <from>
                    <xdr:col>9</xdr:col>
                    <xdr:colOff>266700</xdr:colOff>
                    <xdr:row>1</xdr:row>
                    <xdr:rowOff>68580</xdr:rowOff>
                  </from>
                  <to>
                    <xdr:col>10</xdr:col>
                    <xdr:colOff>297180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V11"/>
  <sheetViews>
    <sheetView workbookViewId="0">
      <selection activeCell="K3" sqref="K3"/>
    </sheetView>
  </sheetViews>
  <sheetFormatPr defaultRowHeight="14.4" x14ac:dyDescent="0.3"/>
  <cols>
    <col min="1" max="1" width="8.88671875" style="26"/>
    <col min="2" max="2" width="8.88671875" style="26" customWidth="1"/>
    <col min="3" max="3" width="8.88671875" style="26"/>
    <col min="4" max="4" width="14.109375" style="26" customWidth="1"/>
    <col min="5" max="16384" width="8.88671875" style="26"/>
  </cols>
  <sheetData>
    <row r="2" spans="2:22" x14ac:dyDescent="0.3">
      <c r="E2" s="23"/>
      <c r="F2" s="23"/>
      <c r="G2" s="23"/>
      <c r="H2" s="23"/>
    </row>
    <row r="3" spans="2:22" x14ac:dyDescent="0.3">
      <c r="E3" s="23"/>
      <c r="F3" s="23"/>
      <c r="G3" s="23"/>
      <c r="H3" s="23"/>
    </row>
    <row r="5" spans="2:22" x14ac:dyDescent="0.3">
      <c r="E5" s="27"/>
      <c r="F5" s="27"/>
      <c r="G5" s="27"/>
    </row>
    <row r="7" spans="2:22" ht="15" thickBot="1" x14ac:dyDescent="0.35"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2:22" ht="19.2" thickTop="1" thickBot="1" x14ac:dyDescent="0.35">
      <c r="B8" s="22"/>
      <c r="C8" s="39" t="s">
        <v>18</v>
      </c>
      <c r="D8" s="39"/>
      <c r="E8" s="39"/>
      <c r="F8" s="39"/>
      <c r="G8" s="39"/>
      <c r="H8" s="39"/>
      <c r="I8" s="22"/>
      <c r="J8" s="44" t="s">
        <v>20</v>
      </c>
      <c r="K8" s="45"/>
      <c r="L8" s="46"/>
      <c r="M8" s="22"/>
      <c r="N8" s="50" t="s">
        <v>22</v>
      </c>
      <c r="O8" s="50"/>
      <c r="P8" s="50"/>
      <c r="Q8" s="50"/>
      <c r="R8" s="50"/>
      <c r="S8" s="50"/>
      <c r="T8" s="50"/>
      <c r="U8" s="50"/>
      <c r="V8" s="22"/>
    </row>
    <row r="9" spans="2:22" ht="16.8" customHeight="1" thickTop="1" x14ac:dyDescent="0.3">
      <c r="B9" s="22"/>
      <c r="C9" s="40"/>
      <c r="D9" s="40"/>
      <c r="E9" s="40"/>
      <c r="F9" s="40"/>
      <c r="G9" s="40"/>
      <c r="H9" s="40"/>
      <c r="I9" s="22"/>
      <c r="J9" s="47"/>
      <c r="K9" s="48"/>
      <c r="L9" s="49"/>
      <c r="M9" s="22"/>
      <c r="N9" s="42" t="s">
        <v>23</v>
      </c>
      <c r="O9" s="42"/>
      <c r="P9" s="42"/>
      <c r="Q9" s="42"/>
      <c r="R9" s="42" t="s">
        <v>24</v>
      </c>
      <c r="S9" s="42"/>
      <c r="T9" s="42"/>
      <c r="U9" s="42"/>
      <c r="V9" s="22"/>
    </row>
    <row r="10" spans="2:22" ht="15.6" customHeight="1" x14ac:dyDescent="0.3">
      <c r="B10" s="22"/>
      <c r="C10" s="41">
        <f>CHOOSE(Data!AC23,Data!A43,Data!A65,Data!A87,Data!A109)</f>
        <v>0.4</v>
      </c>
      <c r="D10" s="41"/>
      <c r="E10" s="41"/>
      <c r="F10" s="43" t="str">
        <f>CHOOSE(Data!AC23,Data!B43,Data!B65,Data!B87,Data!B109)</f>
        <v>Possible to compete</v>
      </c>
      <c r="G10" s="43"/>
      <c r="H10" s="43"/>
      <c r="I10" s="22"/>
      <c r="J10" s="43" t="str">
        <f>CHOOSE(Data!AC23,Data!D43,Data!D65,Data!D87,Data!D109)</f>
        <v>$549K</v>
      </c>
      <c r="K10" s="43"/>
      <c r="L10" s="43"/>
      <c r="M10" s="28"/>
      <c r="N10" s="43" t="str">
        <f>CHOOSE(Data!AC23,Data!F44,Data!F66,Data!F88,Data!F110)</f>
        <v>272.2M</v>
      </c>
      <c r="O10" s="43"/>
      <c r="P10" s="43"/>
      <c r="Q10" s="43"/>
      <c r="R10" s="43" t="str">
        <f>CHOOSE(Data!AC23,Data!G44,Data!G66,Data!G88,Data!G110)</f>
        <v>13.1M</v>
      </c>
      <c r="S10" s="43"/>
      <c r="T10" s="43"/>
      <c r="U10" s="43"/>
      <c r="V10" s="22"/>
    </row>
    <row r="11" spans="2:22" ht="15" customHeight="1" x14ac:dyDescent="0.3">
      <c r="B11" s="22"/>
      <c r="C11" s="41"/>
      <c r="D11" s="41"/>
      <c r="E11" s="41"/>
      <c r="F11" s="43"/>
      <c r="G11" s="43"/>
      <c r="H11" s="43"/>
      <c r="I11" s="22"/>
      <c r="J11" s="43"/>
      <c r="K11" s="43"/>
      <c r="L11" s="43"/>
      <c r="M11" s="28"/>
      <c r="N11" s="43"/>
      <c r="O11" s="43"/>
      <c r="P11" s="43"/>
      <c r="Q11" s="43"/>
      <c r="R11" s="43"/>
      <c r="S11" s="43"/>
      <c r="T11" s="43"/>
      <c r="U11" s="43"/>
      <c r="V11" s="22"/>
    </row>
  </sheetData>
  <mergeCells count="10">
    <mergeCell ref="C8:H9"/>
    <mergeCell ref="C10:E11"/>
    <mergeCell ref="R9:U9"/>
    <mergeCell ref="R10:U11"/>
    <mergeCell ref="J8:L9"/>
    <mergeCell ref="J10:L11"/>
    <mergeCell ref="F10:H11"/>
    <mergeCell ref="N9:Q9"/>
    <mergeCell ref="N10:Q11"/>
    <mergeCell ref="N8:U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Option Button 2">
              <controlPr defaultSize="0" autoFill="0" autoLine="0" autoPict="0">
                <anchor moveWithCells="1">
                  <from>
                    <xdr:col>4</xdr:col>
                    <xdr:colOff>76200</xdr:colOff>
                    <xdr:row>1</xdr:row>
                    <xdr:rowOff>53340</xdr:rowOff>
                  </from>
                  <to>
                    <xdr:col>5</xdr:col>
                    <xdr:colOff>121920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4" name="Option Button 3">
              <controlPr defaultSize="0" autoFill="0" autoLine="0" autoPict="0">
                <anchor moveWithCells="1">
                  <from>
                    <xdr:col>4</xdr:col>
                    <xdr:colOff>601980</xdr:colOff>
                    <xdr:row>1</xdr:row>
                    <xdr:rowOff>68580</xdr:rowOff>
                  </from>
                  <to>
                    <xdr:col>6</xdr:col>
                    <xdr:colOff>205740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Option Button 4">
              <controlPr defaultSize="0" autoFill="0" autoLine="0" autoPict="0">
                <anchor moveWithCells="1">
                  <from>
                    <xdr:col>5</xdr:col>
                    <xdr:colOff>510540</xdr:colOff>
                    <xdr:row>1</xdr:row>
                    <xdr:rowOff>68580</xdr:rowOff>
                  </from>
                  <to>
                    <xdr:col>7</xdr:col>
                    <xdr:colOff>106680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6" name="Option Button 5">
              <controlPr defaultSize="0" autoFill="0" autoLine="0" autoPict="0">
                <anchor moveWithCells="1">
                  <from>
                    <xdr:col>6</xdr:col>
                    <xdr:colOff>472440</xdr:colOff>
                    <xdr:row>1</xdr:row>
                    <xdr:rowOff>68580</xdr:rowOff>
                  </from>
                  <to>
                    <xdr:col>7</xdr:col>
                    <xdr:colOff>518160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129"/>
  <sheetViews>
    <sheetView topLeftCell="G1" workbookViewId="0">
      <selection sqref="A1:W1"/>
    </sheetView>
  </sheetViews>
  <sheetFormatPr defaultRowHeight="14.4" x14ac:dyDescent="0.3"/>
  <cols>
    <col min="7" max="7" width="11" customWidth="1"/>
    <col min="8" max="14" width="8.88671875" customWidth="1"/>
    <col min="15" max="15" width="12.88671875" customWidth="1"/>
    <col min="16" max="18" width="8.88671875" customWidth="1"/>
    <col min="19" max="19" width="11.21875" customWidth="1"/>
    <col min="20" max="23" width="8.88671875" customWidth="1"/>
    <col min="28" max="28" width="15.77734375" customWidth="1"/>
    <col min="32" max="32" width="9.33203125" customWidth="1"/>
  </cols>
  <sheetData>
    <row r="1" spans="1:33" ht="15.6" x14ac:dyDescent="0.3">
      <c r="A1" s="51" t="s">
        <v>157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</row>
    <row r="2" spans="1:33" s="5" customFormat="1" x14ac:dyDescent="0.3">
      <c r="A2" s="52" t="s">
        <v>3</v>
      </c>
      <c r="B2" s="52"/>
      <c r="C2" s="52"/>
      <c r="E2" s="52" t="s">
        <v>4</v>
      </c>
      <c r="F2" s="52"/>
      <c r="H2" s="52" t="s">
        <v>5</v>
      </c>
      <c r="I2" s="52"/>
      <c r="K2" s="52" t="s">
        <v>2</v>
      </c>
      <c r="L2" s="52"/>
      <c r="N2" s="52" t="s">
        <v>6</v>
      </c>
      <c r="O2" s="52"/>
      <c r="P2" s="52"/>
      <c r="Q2" s="52"/>
      <c r="R2" s="7"/>
      <c r="T2" s="52" t="s">
        <v>11</v>
      </c>
      <c r="U2" s="52"/>
      <c r="V2" s="52"/>
      <c r="AA2" s="19" t="s">
        <v>154</v>
      </c>
      <c r="AB2" s="5" t="s">
        <v>158</v>
      </c>
      <c r="AC2" s="18">
        <v>4</v>
      </c>
    </row>
    <row r="3" spans="1:33" x14ac:dyDescent="0.3">
      <c r="A3" s="1" t="s">
        <v>147</v>
      </c>
      <c r="B3" t="s">
        <v>0</v>
      </c>
      <c r="C3" t="s">
        <v>1</v>
      </c>
      <c r="E3" t="s">
        <v>0</v>
      </c>
      <c r="F3" t="s">
        <v>1</v>
      </c>
      <c r="H3" t="s">
        <v>0</v>
      </c>
      <c r="I3" t="s">
        <v>1</v>
      </c>
      <c r="K3" t="s">
        <v>0</v>
      </c>
      <c r="L3" t="s">
        <v>1</v>
      </c>
      <c r="N3" t="s">
        <v>7</v>
      </c>
      <c r="O3" t="s">
        <v>8</v>
      </c>
      <c r="P3" t="s">
        <v>9</v>
      </c>
      <c r="Q3" t="s">
        <v>10</v>
      </c>
      <c r="R3" t="s">
        <v>91</v>
      </c>
      <c r="T3" t="s">
        <v>12</v>
      </c>
      <c r="U3" t="s">
        <v>2</v>
      </c>
      <c r="V3" t="s">
        <v>90</v>
      </c>
      <c r="AA3" t="s">
        <v>155</v>
      </c>
      <c r="AB3" t="s">
        <v>159</v>
      </c>
    </row>
    <row r="4" spans="1:33" x14ac:dyDescent="0.3">
      <c r="A4" s="1" t="s">
        <v>148</v>
      </c>
      <c r="B4">
        <v>283965</v>
      </c>
      <c r="C4">
        <v>39415</v>
      </c>
      <c r="E4">
        <v>203365</v>
      </c>
      <c r="F4">
        <v>39415</v>
      </c>
      <c r="H4" s="2">
        <v>0.32013888888888892</v>
      </c>
      <c r="I4" s="2">
        <v>1.3888888888888889E-3</v>
      </c>
      <c r="K4" s="3">
        <v>0.31</v>
      </c>
      <c r="L4" s="3">
        <v>0.69</v>
      </c>
      <c r="N4" s="6">
        <v>0.76539999999999997</v>
      </c>
      <c r="O4" s="6">
        <v>3.9600000000000003E-2</v>
      </c>
      <c r="P4" s="6">
        <v>0.19309999999999999</v>
      </c>
      <c r="Q4" s="6">
        <v>2E-3</v>
      </c>
      <c r="R4" s="6">
        <v>0</v>
      </c>
      <c r="T4" t="s">
        <v>13</v>
      </c>
      <c r="U4" s="6">
        <v>0.70450000000000002</v>
      </c>
      <c r="V4">
        <v>972232</v>
      </c>
      <c r="AA4" t="s">
        <v>161</v>
      </c>
    </row>
    <row r="5" spans="1:33" x14ac:dyDescent="0.3">
      <c r="A5" s="1" t="s">
        <v>149</v>
      </c>
      <c r="B5">
        <v>302619</v>
      </c>
      <c r="C5">
        <v>144754</v>
      </c>
      <c r="E5">
        <v>183623</v>
      </c>
      <c r="F5">
        <v>72097</v>
      </c>
      <c r="H5" s="2">
        <v>0.22708333333333333</v>
      </c>
      <c r="I5" s="2">
        <v>4.5138888888888888E-2</v>
      </c>
      <c r="T5" t="s">
        <v>14</v>
      </c>
      <c r="U5" s="6">
        <v>0.13289999999999999</v>
      </c>
      <c r="V5">
        <v>183421</v>
      </c>
      <c r="AA5" t="s">
        <v>162</v>
      </c>
      <c r="AB5" t="s">
        <v>160</v>
      </c>
    </row>
    <row r="6" spans="1:33" x14ac:dyDescent="0.3">
      <c r="A6" s="1" t="s">
        <v>150</v>
      </c>
      <c r="B6">
        <v>211541</v>
      </c>
      <c r="C6">
        <v>751625</v>
      </c>
      <c r="E6">
        <v>147131</v>
      </c>
      <c r="F6">
        <v>586869</v>
      </c>
      <c r="H6" s="2">
        <v>0.36458333333333331</v>
      </c>
      <c r="I6" s="2">
        <v>0.30416666666666664</v>
      </c>
      <c r="T6" t="s">
        <v>15</v>
      </c>
      <c r="U6" s="6">
        <v>3.6299999999999999E-2</v>
      </c>
      <c r="V6">
        <v>50078</v>
      </c>
      <c r="AB6" t="str">
        <f>CHOOSE(AC2,AA2,AA3,AA4,AA5)</f>
        <v>L'Oréal</v>
      </c>
      <c r="AC6" t="str">
        <f>B3</f>
        <v>Desktop</v>
      </c>
      <c r="AD6" t="str">
        <f>C3</f>
        <v>Mobile</v>
      </c>
      <c r="AE6" t="str">
        <f>E3</f>
        <v>Desktop</v>
      </c>
      <c r="AF6" t="str">
        <f>F3</f>
        <v>Mobile</v>
      </c>
    </row>
    <row r="7" spans="1:33" x14ac:dyDescent="0.3">
      <c r="A7" s="1" t="s">
        <v>151</v>
      </c>
      <c r="B7">
        <v>272578</v>
      </c>
      <c r="C7">
        <v>646952</v>
      </c>
      <c r="E7">
        <v>188762</v>
      </c>
      <c r="F7">
        <v>544459</v>
      </c>
      <c r="H7" s="2">
        <v>0.21180555555555555</v>
      </c>
      <c r="I7" s="2">
        <v>0.20555555555555557</v>
      </c>
      <c r="T7" t="s">
        <v>16</v>
      </c>
      <c r="U7" s="3">
        <v>3.15E-2</v>
      </c>
      <c r="V7">
        <v>43500</v>
      </c>
      <c r="AB7" s="1" t="str">
        <f>A4</f>
        <v>Oct</v>
      </c>
      <c r="AC7">
        <f>CHOOSE($AC$2,B4,B13,B22,B31)</f>
        <v>657819</v>
      </c>
      <c r="AD7">
        <f>CHOOSE($AC$2,C4,C13,C22,C31)</f>
        <v>487836</v>
      </c>
      <c r="AE7">
        <f>CHOOSE(AC2,E4,E13,E22,E31)</f>
        <v>400695</v>
      </c>
      <c r="AF7">
        <f>CHOOSE(AC2,F4,F13,F22,F31)</f>
        <v>396594</v>
      </c>
    </row>
    <row r="8" spans="1:33" x14ac:dyDescent="0.3">
      <c r="A8" s="1" t="s">
        <v>152</v>
      </c>
      <c r="B8">
        <v>347416</v>
      </c>
      <c r="C8">
        <v>1100967</v>
      </c>
      <c r="E8">
        <v>191629</v>
      </c>
      <c r="F8">
        <v>777095</v>
      </c>
      <c r="H8" s="2">
        <v>0.3611111111111111</v>
      </c>
      <c r="I8" s="2">
        <v>0.16805555555555554</v>
      </c>
      <c r="T8" t="s">
        <v>17</v>
      </c>
      <c r="U8" s="6">
        <v>1.7999999999999999E-2</v>
      </c>
      <c r="V8">
        <v>24772</v>
      </c>
      <c r="AB8" s="1" t="str">
        <f t="shared" ref="AB8:AB12" si="0">A5</f>
        <v>Nov</v>
      </c>
      <c r="AC8">
        <f t="shared" ref="AC8:AC12" si="1">CHOOSE($AC$2,B5,B14,B23,B32)</f>
        <v>645624</v>
      </c>
      <c r="AD8">
        <f t="shared" ref="AD8:AD12" si="2">CHOOSE($AC$2,C5,C14,C23,C32)</f>
        <v>1297693</v>
      </c>
      <c r="AE8">
        <f>CHOOSE(AC2,E5,E14,E23,E32)</f>
        <v>404878</v>
      </c>
      <c r="AF8">
        <f>CHOOSE(AC2,F5,F14,F23,F32)</f>
        <v>400792</v>
      </c>
    </row>
    <row r="9" spans="1:33" x14ac:dyDescent="0.3">
      <c r="A9" s="1" t="s">
        <v>153</v>
      </c>
      <c r="B9">
        <v>421440</v>
      </c>
      <c r="C9">
        <v>958502</v>
      </c>
      <c r="E9">
        <v>221533</v>
      </c>
      <c r="F9">
        <v>817391</v>
      </c>
      <c r="H9" s="2">
        <v>0.37291666666666662</v>
      </c>
      <c r="I9" s="2">
        <v>0.26319444444444445</v>
      </c>
      <c r="AB9" s="1" t="str">
        <f t="shared" si="0"/>
        <v>Dec</v>
      </c>
      <c r="AC9">
        <f t="shared" si="1"/>
        <v>628795</v>
      </c>
      <c r="AD9">
        <f t="shared" si="2"/>
        <v>582550</v>
      </c>
      <c r="AE9">
        <f>CHOOSE(AC2,E6,E15,E24,E33)</f>
        <v>305431</v>
      </c>
      <c r="AF9">
        <f>CHOOSE(AC2,F6,F15,F24,F33)</f>
        <v>223406</v>
      </c>
    </row>
    <row r="10" spans="1:33" x14ac:dyDescent="0.3">
      <c r="A10" s="1"/>
      <c r="AB10" s="1" t="str">
        <f t="shared" si="0"/>
        <v>Jan</v>
      </c>
      <c r="AC10">
        <f t="shared" si="1"/>
        <v>615097</v>
      </c>
      <c r="AD10">
        <f t="shared" si="2"/>
        <v>402593</v>
      </c>
      <c r="AE10">
        <f>CHOOSE(AC2,E7,E16,E25,E34)</f>
        <v>409653</v>
      </c>
      <c r="AF10">
        <f>CHOOSE(AC2,F7,F16,F25,F34)</f>
        <v>337840</v>
      </c>
    </row>
    <row r="11" spans="1:33" x14ac:dyDescent="0.3">
      <c r="AB11" s="1" t="str">
        <f t="shared" si="0"/>
        <v>Feb</v>
      </c>
      <c r="AC11">
        <f t="shared" si="1"/>
        <v>485565</v>
      </c>
      <c r="AD11">
        <f t="shared" si="2"/>
        <v>514983</v>
      </c>
      <c r="AE11">
        <f>CHOOSE(AC2,E8,E17,E26,E35)</f>
        <v>337602</v>
      </c>
      <c r="AF11">
        <f>CHOOSE(AC2,F8,F17,F26,F35)</f>
        <v>327526</v>
      </c>
    </row>
    <row r="12" spans="1:33" x14ac:dyDescent="0.3">
      <c r="A12" s="1" t="s">
        <v>147</v>
      </c>
      <c r="B12" t="s">
        <v>0</v>
      </c>
      <c r="C12" t="s">
        <v>1</v>
      </c>
      <c r="E12" t="s">
        <v>0</v>
      </c>
      <c r="F12" t="s">
        <v>1</v>
      </c>
      <c r="H12" t="s">
        <v>0</v>
      </c>
      <c r="I12" t="s">
        <v>1</v>
      </c>
      <c r="K12" t="s">
        <v>0</v>
      </c>
      <c r="L12" t="s">
        <v>1</v>
      </c>
      <c r="N12" t="s">
        <v>7</v>
      </c>
      <c r="O12" t="s">
        <v>8</v>
      </c>
      <c r="P12" t="s">
        <v>9</v>
      </c>
      <c r="Q12" t="s">
        <v>10</v>
      </c>
      <c r="R12" t="s">
        <v>91</v>
      </c>
      <c r="T12" t="s">
        <v>12</v>
      </c>
      <c r="U12" t="s">
        <v>2</v>
      </c>
      <c r="V12" t="s">
        <v>90</v>
      </c>
      <c r="AB12" s="1" t="str">
        <f t="shared" si="0"/>
        <v>Mar</v>
      </c>
      <c r="AC12">
        <f t="shared" si="1"/>
        <v>579323</v>
      </c>
      <c r="AD12">
        <f t="shared" si="2"/>
        <v>685129</v>
      </c>
      <c r="AE12">
        <f>CHOOSE(AC2,E9,E18,E27,F36)</f>
        <v>514166</v>
      </c>
      <c r="AF12">
        <f>CHOOSE(AC2,F9,F18,F27,F36)</f>
        <v>514166</v>
      </c>
    </row>
    <row r="13" spans="1:33" x14ac:dyDescent="0.3">
      <c r="A13" s="1" t="s">
        <v>148</v>
      </c>
      <c r="B13">
        <v>490361</v>
      </c>
      <c r="C13">
        <v>138034</v>
      </c>
      <c r="E13">
        <v>307595</v>
      </c>
      <c r="F13">
        <v>82062</v>
      </c>
      <c r="H13" s="2">
        <v>0.23541666666666669</v>
      </c>
      <c r="I13">
        <v>12.47</v>
      </c>
      <c r="K13" s="3">
        <v>0.6</v>
      </c>
      <c r="L13" s="3">
        <v>0.4</v>
      </c>
      <c r="N13" s="6">
        <v>0.44390000000000002</v>
      </c>
      <c r="O13" s="6">
        <v>0.25409999999999999</v>
      </c>
      <c r="P13" s="6">
        <v>0.27260000000000001</v>
      </c>
      <c r="Q13" s="6">
        <v>2.9399999999999999E-2</v>
      </c>
      <c r="R13" s="6">
        <v>0</v>
      </c>
      <c r="T13" t="s">
        <v>13</v>
      </c>
      <c r="U13" s="6">
        <v>0.16789999999999999</v>
      </c>
      <c r="V13">
        <v>238127</v>
      </c>
      <c r="AC13" t="str">
        <f>K3</f>
        <v>Desktop</v>
      </c>
      <c r="AD13" t="str">
        <f>L3</f>
        <v>Mobile</v>
      </c>
    </row>
    <row r="14" spans="1:33" x14ac:dyDescent="0.3">
      <c r="A14" s="1" t="s">
        <v>149</v>
      </c>
      <c r="B14">
        <v>457218</v>
      </c>
      <c r="C14">
        <v>53207</v>
      </c>
      <c r="E14">
        <v>291317</v>
      </c>
      <c r="F14">
        <v>47029</v>
      </c>
      <c r="H14" s="2">
        <v>0.22152777777777777</v>
      </c>
      <c r="I14" s="2">
        <v>0.1875</v>
      </c>
      <c r="T14" t="s">
        <v>88</v>
      </c>
      <c r="U14" s="6">
        <v>0.16769999999999999</v>
      </c>
      <c r="V14">
        <v>237803</v>
      </c>
      <c r="AC14" s="20">
        <f>CHOOSE(AC2,K4,K13,K22,K31)</f>
        <v>0.46</v>
      </c>
      <c r="AD14" s="20">
        <f>CHOOSE(AC2,L4,L13,L22,L31)</f>
        <v>0.54</v>
      </c>
    </row>
    <row r="15" spans="1:33" x14ac:dyDescent="0.3">
      <c r="A15" s="1" t="s">
        <v>150</v>
      </c>
      <c r="B15">
        <v>499513</v>
      </c>
      <c r="C15">
        <v>56343</v>
      </c>
      <c r="E15">
        <v>255394</v>
      </c>
      <c r="F15">
        <v>56343</v>
      </c>
      <c r="H15" s="2">
        <v>0.1986111111111111</v>
      </c>
      <c r="I15" s="2">
        <v>0.13958333333333334</v>
      </c>
      <c r="T15" t="s">
        <v>89</v>
      </c>
      <c r="U15" s="6">
        <v>0.16189999999999999</v>
      </c>
      <c r="V15">
        <v>229604</v>
      </c>
      <c r="AC15" s="20" t="str">
        <f>N3</f>
        <v>Direct</v>
      </c>
      <c r="AD15" t="str">
        <f>O3</f>
        <v>Referral</v>
      </c>
      <c r="AE15" t="str">
        <f t="shared" ref="AE15:AG15" si="3">P3</f>
        <v>Search</v>
      </c>
      <c r="AF15" t="str">
        <f t="shared" si="3"/>
        <v>Social</v>
      </c>
      <c r="AG15" t="str">
        <f t="shared" si="3"/>
        <v>Paid</v>
      </c>
    </row>
    <row r="16" spans="1:33" x14ac:dyDescent="0.3">
      <c r="A16" s="1" t="s">
        <v>151</v>
      </c>
      <c r="B16">
        <v>640434</v>
      </c>
      <c r="C16">
        <v>64190</v>
      </c>
      <c r="E16">
        <v>340952</v>
      </c>
      <c r="F16">
        <v>58772</v>
      </c>
      <c r="H16" s="2">
        <v>0.21041666666666667</v>
      </c>
      <c r="I16" s="2">
        <v>7.4999999999999997E-2</v>
      </c>
      <c r="T16" t="s">
        <v>14</v>
      </c>
      <c r="U16" s="6">
        <v>0.1008</v>
      </c>
      <c r="V16">
        <v>143034</v>
      </c>
      <c r="AC16" s="21">
        <f>CHOOSE(AC2,N4,N13,N22,N31)</f>
        <v>0.55259999999999998</v>
      </c>
      <c r="AD16" s="21">
        <f>CHOOSE(AC2,O4,O13,O22,O31)</f>
        <v>6.0900000000000003E-2</v>
      </c>
      <c r="AE16" s="21">
        <f>CHOOSE(AC2,P4,P13,P22,P31)</f>
        <v>0.3417</v>
      </c>
      <c r="AF16" s="21">
        <f>CHOOSE(AC2,Q4,Q13,Q22,Q31)</f>
        <v>4.48E-2</v>
      </c>
      <c r="AG16" s="21">
        <f>CHOOSE(AC2,R4,R13,R22,R31)</f>
        <v>0</v>
      </c>
    </row>
    <row r="17" spans="1:34" x14ac:dyDescent="0.3">
      <c r="A17" s="1" t="s">
        <v>152</v>
      </c>
      <c r="B17">
        <v>559754</v>
      </c>
      <c r="C17">
        <v>48323</v>
      </c>
      <c r="E17">
        <v>293192</v>
      </c>
      <c r="F17">
        <v>37905</v>
      </c>
      <c r="H17" s="2">
        <v>0.28333333333333333</v>
      </c>
      <c r="I17" s="2">
        <v>0.25694444444444448</v>
      </c>
      <c r="T17" t="s">
        <v>15</v>
      </c>
      <c r="U17" s="3">
        <v>7.9600000000000004E-2</v>
      </c>
      <c r="V17">
        <v>112915</v>
      </c>
      <c r="AC17" t="str">
        <f>U3</f>
        <v>Traffic Share</v>
      </c>
      <c r="AD17" t="str">
        <f>V3</f>
        <v>Traffic</v>
      </c>
    </row>
    <row r="18" spans="1:34" x14ac:dyDescent="0.3">
      <c r="A18" s="1" t="s">
        <v>153</v>
      </c>
      <c r="B18">
        <v>849794</v>
      </c>
      <c r="C18">
        <v>568596</v>
      </c>
      <c r="E18">
        <v>374340</v>
      </c>
      <c r="F18">
        <v>185168</v>
      </c>
      <c r="H18" s="2">
        <v>0.29652777777777778</v>
      </c>
      <c r="I18" s="2">
        <v>0.36805555555555558</v>
      </c>
      <c r="AB18" t="str">
        <f>T4</f>
        <v>US</v>
      </c>
      <c r="AC18" s="21">
        <f>CHOOSE(AC2,U4,U13,U22,U31)</f>
        <v>0.19359999999999999</v>
      </c>
      <c r="AD18">
        <f>CHOOSE(AC2,V4,V13,V22,V31)</f>
        <v>244779</v>
      </c>
    </row>
    <row r="19" spans="1:34" x14ac:dyDescent="0.3">
      <c r="AB19" t="str">
        <f t="shared" ref="AB19:AB22" si="4">T5</f>
        <v>France</v>
      </c>
      <c r="AC19" s="21">
        <f>CHOOSE(AC2,U5,U14,U23,U32)</f>
        <v>0.10290000000000001</v>
      </c>
      <c r="AD19">
        <f>CHOOSE($AC$2,V5,V14,V23,V32)</f>
        <v>130138</v>
      </c>
    </row>
    <row r="20" spans="1:34" x14ac:dyDescent="0.3">
      <c r="AB20" t="str">
        <f t="shared" si="4"/>
        <v>Italy</v>
      </c>
      <c r="AC20" s="21">
        <f>CHOOSE($AC$2,U6,U15,U24,U33)</f>
        <v>9.4700000000000006E-2</v>
      </c>
      <c r="AD20">
        <f t="shared" ref="AD20:AD22" si="5">CHOOSE($AC$2,V6,V15,V24,V33)</f>
        <v>119708</v>
      </c>
    </row>
    <row r="21" spans="1:34" x14ac:dyDescent="0.3">
      <c r="A21" s="1" t="s">
        <v>147</v>
      </c>
      <c r="B21" t="s">
        <v>0</v>
      </c>
      <c r="C21" t="s">
        <v>1</v>
      </c>
      <c r="E21" t="s">
        <v>0</v>
      </c>
      <c r="F21" t="s">
        <v>1</v>
      </c>
      <c r="H21" t="s">
        <v>0</v>
      </c>
      <c r="I21" t="s">
        <v>1</v>
      </c>
      <c r="K21" t="s">
        <v>0</v>
      </c>
      <c r="L21" t="s">
        <v>1</v>
      </c>
      <c r="N21" t="s">
        <v>7</v>
      </c>
      <c r="O21" t="s">
        <v>8</v>
      </c>
      <c r="P21" t="s">
        <v>9</v>
      </c>
      <c r="Q21" t="s">
        <v>10</v>
      </c>
      <c r="R21" t="s">
        <v>91</v>
      </c>
      <c r="T21" t="s">
        <v>12</v>
      </c>
      <c r="U21" t="s">
        <v>2</v>
      </c>
      <c r="V21" t="s">
        <v>90</v>
      </c>
      <c r="AB21" t="str">
        <f t="shared" si="4"/>
        <v>Norway</v>
      </c>
      <c r="AC21" s="21">
        <f>CHOOSE($AC$2,U7,U16,U25,U34)</f>
        <v>7.0400000000000004E-2</v>
      </c>
      <c r="AD21">
        <f t="shared" si="5"/>
        <v>88959</v>
      </c>
    </row>
    <row r="22" spans="1:34" x14ac:dyDescent="0.3">
      <c r="A22" s="1" t="s">
        <v>148</v>
      </c>
      <c r="B22">
        <v>2776900</v>
      </c>
      <c r="C22">
        <v>3894201</v>
      </c>
      <c r="E22">
        <v>1542408</v>
      </c>
      <c r="F22">
        <v>2000179</v>
      </c>
      <c r="H22" s="2">
        <v>0.45763888888888887</v>
      </c>
      <c r="I22" s="2">
        <v>0.24236111111111111</v>
      </c>
      <c r="K22" s="3">
        <v>0.44</v>
      </c>
      <c r="L22" s="3">
        <v>0.56000000000000005</v>
      </c>
      <c r="N22" s="6">
        <v>0.51480000000000004</v>
      </c>
      <c r="O22" s="6">
        <v>2.7E-2</v>
      </c>
      <c r="P22" s="6">
        <v>0.39739999999999998</v>
      </c>
      <c r="Q22" s="6">
        <v>1.35E-2</v>
      </c>
      <c r="R22" s="6">
        <v>4.7300000000000002E-2</v>
      </c>
      <c r="T22" t="s">
        <v>92</v>
      </c>
      <c r="U22" s="6">
        <v>0.25600000000000001</v>
      </c>
      <c r="V22">
        <v>1739708</v>
      </c>
      <c r="W22" s="6"/>
      <c r="AB22" t="str">
        <f t="shared" si="4"/>
        <v>Netherlands</v>
      </c>
      <c r="AC22" s="21">
        <f>CHOOSE($AC$2,U8,U17,U26,U35)</f>
        <v>5.8700000000000002E-2</v>
      </c>
      <c r="AD22">
        <f t="shared" si="5"/>
        <v>74199</v>
      </c>
    </row>
    <row r="23" spans="1:34" x14ac:dyDescent="0.3">
      <c r="A23" s="1" t="s">
        <v>149</v>
      </c>
      <c r="B23">
        <v>2620838</v>
      </c>
      <c r="C23">
        <v>4378883</v>
      </c>
      <c r="E23">
        <v>1582131</v>
      </c>
      <c r="F23">
        <v>2361389</v>
      </c>
      <c r="H23" s="2">
        <v>0.34097222222222223</v>
      </c>
      <c r="I23" s="2">
        <v>0.22847222222222222</v>
      </c>
      <c r="T23" t="s">
        <v>93</v>
      </c>
      <c r="U23" s="6">
        <v>0.15570000000000001</v>
      </c>
      <c r="V23">
        <v>1057726</v>
      </c>
      <c r="AB23" t="s">
        <v>163</v>
      </c>
      <c r="AC23" s="22">
        <v>4</v>
      </c>
    </row>
    <row r="24" spans="1:34" x14ac:dyDescent="0.3">
      <c r="A24" s="1" t="s">
        <v>150</v>
      </c>
      <c r="B24">
        <v>2984680</v>
      </c>
      <c r="C24">
        <v>4097782</v>
      </c>
      <c r="E24">
        <v>1802887</v>
      </c>
      <c r="F24">
        <v>2688543</v>
      </c>
      <c r="H24" s="2">
        <v>0.4368055555555555</v>
      </c>
      <c r="I24" s="2">
        <v>0.19930555555555554</v>
      </c>
      <c r="T24" t="s">
        <v>94</v>
      </c>
      <c r="U24" s="6">
        <v>0.1472</v>
      </c>
      <c r="V24">
        <v>1000404</v>
      </c>
      <c r="W24" s="6"/>
      <c r="AC24" s="20">
        <f>CHOOSE(AC23,A43,A65,A87,A109)</f>
        <v>0.4</v>
      </c>
      <c r="AD24" s="20" t="str">
        <f>CHOOSE($AC$23,B43,B65,B87,B109)</f>
        <v>Possible to compete</v>
      </c>
    </row>
    <row r="25" spans="1:34" x14ac:dyDescent="0.3">
      <c r="A25" s="1" t="s">
        <v>151</v>
      </c>
      <c r="B25">
        <v>2981952</v>
      </c>
      <c r="C25">
        <v>3695397</v>
      </c>
      <c r="E25">
        <v>1591290</v>
      </c>
      <c r="F25">
        <v>1947644</v>
      </c>
      <c r="H25" s="2">
        <v>0.57708333333333328</v>
      </c>
      <c r="I25" s="2">
        <v>0.17777777777777778</v>
      </c>
      <c r="T25" t="s">
        <v>14</v>
      </c>
      <c r="U25" s="6">
        <v>8.0600000000000005E-2</v>
      </c>
      <c r="V25">
        <v>547495</v>
      </c>
      <c r="AC25" t="str">
        <f>D42</f>
        <v>Market Traffic Cost</v>
      </c>
    </row>
    <row r="26" spans="1:34" x14ac:dyDescent="0.3">
      <c r="A26" s="1" t="s">
        <v>152</v>
      </c>
      <c r="B26">
        <v>2887642</v>
      </c>
      <c r="C26">
        <v>2208664</v>
      </c>
      <c r="E26">
        <v>1413609</v>
      </c>
      <c r="F26">
        <v>1534687</v>
      </c>
      <c r="H26" s="2">
        <v>0.44861111111111113</v>
      </c>
      <c r="I26" s="2">
        <v>0.29166666666666669</v>
      </c>
      <c r="T26" t="s">
        <v>95</v>
      </c>
      <c r="U26" s="6">
        <v>3.9199999999999999E-2</v>
      </c>
      <c r="V26">
        <v>266103</v>
      </c>
      <c r="W26" s="6"/>
      <c r="AC26" t="str">
        <f>CHOOSE(AC23,D43,D65,D87,D109)</f>
        <v>$549K</v>
      </c>
    </row>
    <row r="27" spans="1:34" x14ac:dyDescent="0.3">
      <c r="A27" s="1" t="s">
        <v>153</v>
      </c>
      <c r="B27">
        <v>3018202</v>
      </c>
      <c r="C27">
        <v>3776569</v>
      </c>
      <c r="E27">
        <v>1452592</v>
      </c>
      <c r="F27">
        <v>1752654</v>
      </c>
      <c r="H27" s="2">
        <v>0.42638888888888887</v>
      </c>
      <c r="I27" s="2">
        <v>0.21319444444444444</v>
      </c>
      <c r="AC27" t="str">
        <f>F43</f>
        <v>Total Addressable Market (TAM)</v>
      </c>
      <c r="AD27" t="str">
        <f>G43</f>
        <v>Serviceable Available Market (SAM)</v>
      </c>
    </row>
    <row r="28" spans="1:34" x14ac:dyDescent="0.3">
      <c r="U28" s="6"/>
      <c r="W28" s="6"/>
      <c r="AC28" t="str">
        <f>CHOOSE(AC23,F44,F66,F88,F110)</f>
        <v>272.2M</v>
      </c>
      <c r="AD28" t="str">
        <f>CHOOSE($AC$23,G44,G66,G88,G110)</f>
        <v>13.1M</v>
      </c>
    </row>
    <row r="29" spans="1:34" x14ac:dyDescent="0.3">
      <c r="AB29" t="str">
        <f>M43</f>
        <v>Source</v>
      </c>
      <c r="AC29" t="str">
        <f>N43</f>
        <v>Market</v>
      </c>
      <c r="AD29" t="str">
        <f>CHOOSE(AC23,O43,O65,O87,O109)</f>
        <v>loreal.com</v>
      </c>
      <c r="AF29" t="str">
        <f>Q43</f>
        <v>Age</v>
      </c>
      <c r="AG29" t="str">
        <f t="shared" ref="AG29" si="6">R43</f>
        <v>Market</v>
      </c>
      <c r="AH29" t="str">
        <f>CHOOSE(AC23,S43,S65,S87,S109)</f>
        <v>loreal.com</v>
      </c>
    </row>
    <row r="30" spans="1:34" x14ac:dyDescent="0.3">
      <c r="A30" s="1" t="s">
        <v>147</v>
      </c>
      <c r="B30" t="s">
        <v>0</v>
      </c>
      <c r="C30" t="s">
        <v>1</v>
      </c>
      <c r="E30" t="s">
        <v>0</v>
      </c>
      <c r="F30" t="s">
        <v>1</v>
      </c>
      <c r="H30" t="s">
        <v>0</v>
      </c>
      <c r="I30" t="s">
        <v>1</v>
      </c>
      <c r="K30" t="s">
        <v>0</v>
      </c>
      <c r="L30" t="s">
        <v>1</v>
      </c>
      <c r="N30" t="s">
        <v>7</v>
      </c>
      <c r="O30" t="s">
        <v>8</v>
      </c>
      <c r="P30" t="s">
        <v>9</v>
      </c>
      <c r="Q30" t="s">
        <v>10</v>
      </c>
      <c r="R30" t="s">
        <v>91</v>
      </c>
      <c r="T30" t="s">
        <v>12</v>
      </c>
      <c r="U30" t="s">
        <v>2</v>
      </c>
      <c r="V30" t="s">
        <v>90</v>
      </c>
      <c r="W30" s="6"/>
      <c r="AB30" t="str">
        <f t="shared" ref="AB30:AB33" si="7">M44</f>
        <v>Direct</v>
      </c>
      <c r="AC30" s="21">
        <f>CHOOSE(AC23,N44,N66,N88,N110)</f>
        <v>0.85899999999999999</v>
      </c>
      <c r="AD30" s="21">
        <f>CHOOSE($AC$23,O44,O66,O88,O110)</f>
        <v>0.49430000000000002</v>
      </c>
      <c r="AE30" s="21"/>
      <c r="AF30" t="str">
        <f t="shared" ref="AF30:AF35" si="8">Q44</f>
        <v>18-24</v>
      </c>
      <c r="AG30" s="21">
        <f t="shared" ref="AG30:AH35" si="9">CHOOSE($AC$23,R44,R66,R88,R110)</f>
        <v>0.22109999999999999</v>
      </c>
      <c r="AH30" s="21">
        <f t="shared" si="9"/>
        <v>0.25829999999999997</v>
      </c>
    </row>
    <row r="31" spans="1:34" x14ac:dyDescent="0.3">
      <c r="A31" s="1" t="s">
        <v>148</v>
      </c>
      <c r="B31">
        <v>657819</v>
      </c>
      <c r="C31">
        <v>487836</v>
      </c>
      <c r="E31">
        <v>400695</v>
      </c>
      <c r="F31">
        <v>396594</v>
      </c>
      <c r="H31" s="2">
        <v>0.4145833333333333</v>
      </c>
      <c r="I31" s="2">
        <v>0.2388888888888889</v>
      </c>
      <c r="K31" s="3">
        <v>0.46</v>
      </c>
      <c r="L31" s="3">
        <v>0.54</v>
      </c>
      <c r="N31" s="6">
        <v>0.55259999999999998</v>
      </c>
      <c r="O31" s="6">
        <v>6.0900000000000003E-2</v>
      </c>
      <c r="P31" s="6">
        <v>0.3417</v>
      </c>
      <c r="Q31" s="6">
        <v>4.48E-2</v>
      </c>
      <c r="R31" s="3">
        <v>0</v>
      </c>
      <c r="T31" t="s">
        <v>92</v>
      </c>
      <c r="U31" s="6">
        <v>0.19359999999999999</v>
      </c>
      <c r="V31">
        <v>244779</v>
      </c>
      <c r="W31" s="6"/>
      <c r="AB31" t="str">
        <f t="shared" si="7"/>
        <v>Referral</v>
      </c>
      <c r="AC31" s="21">
        <f>CHOOSE($AC$23,N45,N67,N89,N111)</f>
        <v>0</v>
      </c>
      <c r="AD31" s="21">
        <f>CHOOSE($AC$23,O45,O67,O89,O111)</f>
        <v>0</v>
      </c>
      <c r="AF31" t="str">
        <f t="shared" si="8"/>
        <v>25-34</v>
      </c>
      <c r="AG31" s="21">
        <f t="shared" si="9"/>
        <v>0.29799999999999999</v>
      </c>
      <c r="AH31" s="21">
        <f t="shared" si="9"/>
        <v>0.30759999999999998</v>
      </c>
    </row>
    <row r="32" spans="1:34" x14ac:dyDescent="0.3">
      <c r="A32" s="1" t="s">
        <v>149</v>
      </c>
      <c r="B32">
        <v>645624</v>
      </c>
      <c r="C32">
        <v>1297693</v>
      </c>
      <c r="E32">
        <v>404878</v>
      </c>
      <c r="F32">
        <v>400792</v>
      </c>
      <c r="H32" s="2">
        <v>0.47986111111111113</v>
      </c>
      <c r="I32" s="2">
        <v>0.31875000000000003</v>
      </c>
      <c r="T32" t="s">
        <v>144</v>
      </c>
      <c r="U32" s="6">
        <v>0.10290000000000001</v>
      </c>
      <c r="V32">
        <v>130138</v>
      </c>
      <c r="AB32" t="str">
        <f t="shared" si="7"/>
        <v>Search</v>
      </c>
      <c r="AC32" s="21">
        <f>CHOOSE($AC$23,N46,N68,N90,N112)</f>
        <v>9.0499999999999997E-2</v>
      </c>
      <c r="AD32" s="21">
        <f>CHOOSE($AC$23,O46,O68,O90,O112)</f>
        <v>0</v>
      </c>
      <c r="AF32" t="str">
        <f t="shared" si="8"/>
        <v>35-44</v>
      </c>
      <c r="AG32" s="21">
        <f t="shared" si="9"/>
        <v>0.16869999999999999</v>
      </c>
      <c r="AH32" s="21">
        <f t="shared" si="9"/>
        <v>0.16159999999999999</v>
      </c>
    </row>
    <row r="33" spans="1:34" x14ac:dyDescent="0.3">
      <c r="A33" s="1" t="s">
        <v>150</v>
      </c>
      <c r="B33">
        <v>628795</v>
      </c>
      <c r="C33">
        <v>582550</v>
      </c>
      <c r="E33">
        <v>305431</v>
      </c>
      <c r="F33">
        <v>223406</v>
      </c>
      <c r="H33" s="2">
        <v>0.3611111111111111</v>
      </c>
      <c r="I33" s="2">
        <v>0.59861111111111109</v>
      </c>
      <c r="T33" t="s">
        <v>14</v>
      </c>
      <c r="U33" s="6">
        <v>9.4700000000000006E-2</v>
      </c>
      <c r="V33">
        <v>119708</v>
      </c>
      <c r="W33" s="6"/>
      <c r="AB33" t="str">
        <f t="shared" si="7"/>
        <v>Social</v>
      </c>
      <c r="AC33" s="21">
        <f>CHOOSE($AC$23,N47,N69,N91,N113)</f>
        <v>0.25990000000000002</v>
      </c>
      <c r="AD33" s="21">
        <f>CHOOSE($AC$23,O47,O69,O91,O113)</f>
        <v>0.15859999999999999</v>
      </c>
      <c r="AF33" t="str">
        <f t="shared" si="8"/>
        <v>45-54</v>
      </c>
      <c r="AG33" s="21">
        <f t="shared" si="9"/>
        <v>0.1414</v>
      </c>
      <c r="AH33" s="21">
        <f t="shared" si="9"/>
        <v>0.12920000000000001</v>
      </c>
    </row>
    <row r="34" spans="1:34" x14ac:dyDescent="0.3">
      <c r="A34" s="1" t="s">
        <v>151</v>
      </c>
      <c r="B34">
        <v>615097</v>
      </c>
      <c r="C34">
        <v>402593</v>
      </c>
      <c r="E34">
        <v>409653</v>
      </c>
      <c r="F34">
        <v>337840</v>
      </c>
      <c r="H34" s="2">
        <v>0.3979166666666667</v>
      </c>
      <c r="I34" s="2">
        <v>0.19999999999999998</v>
      </c>
      <c r="T34" t="s">
        <v>145</v>
      </c>
      <c r="U34" s="6">
        <v>7.0400000000000004E-2</v>
      </c>
      <c r="V34">
        <v>88959</v>
      </c>
      <c r="AC34" s="21"/>
      <c r="AF34" t="str">
        <f t="shared" si="8"/>
        <v>55-64</v>
      </c>
      <c r="AG34" s="21">
        <f t="shared" si="9"/>
        <v>0.10249999999999999</v>
      </c>
      <c r="AH34" s="21">
        <f t="shared" si="9"/>
        <v>8.6900000000000005E-2</v>
      </c>
    </row>
    <row r="35" spans="1:34" x14ac:dyDescent="0.3">
      <c r="A35" s="1" t="s">
        <v>152</v>
      </c>
      <c r="B35">
        <v>485565</v>
      </c>
      <c r="C35">
        <v>514983</v>
      </c>
      <c r="E35">
        <v>337602</v>
      </c>
      <c r="F35">
        <v>327526</v>
      </c>
      <c r="H35" s="2">
        <v>0.31597222222222221</v>
      </c>
      <c r="I35" s="2">
        <v>0.16666666666666666</v>
      </c>
      <c r="T35" t="s">
        <v>146</v>
      </c>
      <c r="U35" s="6">
        <v>5.8700000000000002E-2</v>
      </c>
      <c r="V35">
        <v>74199</v>
      </c>
      <c r="W35" s="6"/>
      <c r="AF35" t="str">
        <f t="shared" si="8"/>
        <v>65+</v>
      </c>
      <c r="AG35" s="21">
        <f t="shared" si="9"/>
        <v>6.83E-2</v>
      </c>
      <c r="AH35" s="21">
        <f t="shared" si="9"/>
        <v>5.6300000000000003E-2</v>
      </c>
    </row>
    <row r="36" spans="1:34" x14ac:dyDescent="0.3">
      <c r="A36" s="1" t="s">
        <v>153</v>
      </c>
      <c r="B36">
        <v>579323</v>
      </c>
      <c r="C36">
        <v>685129</v>
      </c>
      <c r="E36">
        <v>386484</v>
      </c>
      <c r="F36">
        <v>514166</v>
      </c>
      <c r="H36" s="2">
        <v>0.33680555555555558</v>
      </c>
      <c r="I36" s="2">
        <v>0.21458333333333335</v>
      </c>
    </row>
    <row r="37" spans="1:34" x14ac:dyDescent="0.3">
      <c r="U37" s="6"/>
      <c r="W37" s="6"/>
    </row>
    <row r="39" spans="1:34" x14ac:dyDescent="0.3">
      <c r="U39" s="6"/>
      <c r="W39" s="6"/>
    </row>
    <row r="41" spans="1:34" ht="15.6" x14ac:dyDescent="0.3">
      <c r="A41" s="51" t="s">
        <v>156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</row>
    <row r="42" spans="1:34" x14ac:dyDescent="0.3">
      <c r="A42" s="52" t="s">
        <v>18</v>
      </c>
      <c r="B42" s="52"/>
      <c r="D42" s="7" t="s">
        <v>20</v>
      </c>
      <c r="F42" s="52" t="s">
        <v>22</v>
      </c>
      <c r="G42" s="52"/>
      <c r="I42" s="52" t="s">
        <v>27</v>
      </c>
      <c r="J42" s="52"/>
      <c r="K42" s="52"/>
      <c r="M42" s="52" t="s">
        <v>51</v>
      </c>
      <c r="N42" s="52"/>
      <c r="O42" s="52"/>
      <c r="Q42" s="53" t="s">
        <v>55</v>
      </c>
      <c r="R42" s="53"/>
      <c r="S42" s="53"/>
    </row>
    <row r="43" spans="1:34" x14ac:dyDescent="0.3">
      <c r="A43" s="13">
        <v>0.92</v>
      </c>
      <c r="B43" t="s">
        <v>19</v>
      </c>
      <c r="D43" t="s">
        <v>21</v>
      </c>
      <c r="F43" s="8" t="s">
        <v>23</v>
      </c>
      <c r="G43" s="8" t="s">
        <v>24</v>
      </c>
      <c r="I43" s="8" t="s">
        <v>28</v>
      </c>
      <c r="J43" s="8" t="s">
        <v>29</v>
      </c>
      <c r="K43" s="8" t="s">
        <v>30</v>
      </c>
      <c r="M43" s="8" t="s">
        <v>52</v>
      </c>
      <c r="N43" s="8" t="s">
        <v>53</v>
      </c>
      <c r="O43" s="8" t="s">
        <v>54</v>
      </c>
      <c r="Q43" s="8" t="s">
        <v>56</v>
      </c>
      <c r="R43" s="8" t="s">
        <v>53</v>
      </c>
      <c r="S43" s="8" t="s">
        <v>54</v>
      </c>
    </row>
    <row r="44" spans="1:34" x14ac:dyDescent="0.3">
      <c r="F44" t="s">
        <v>25</v>
      </c>
      <c r="G44" t="s">
        <v>26</v>
      </c>
      <c r="I44" t="s">
        <v>31</v>
      </c>
      <c r="J44">
        <v>18100</v>
      </c>
      <c r="K44">
        <v>14661</v>
      </c>
      <c r="M44" t="s">
        <v>7</v>
      </c>
      <c r="N44" s="10">
        <v>4.9043000000000001</v>
      </c>
      <c r="O44" s="10">
        <v>7.5537000000000001</v>
      </c>
      <c r="Q44" t="s">
        <v>57</v>
      </c>
      <c r="R44" s="6">
        <v>0.23019999999999999</v>
      </c>
      <c r="S44" s="6">
        <v>0.23350000000000001</v>
      </c>
    </row>
    <row r="45" spans="1:34" x14ac:dyDescent="0.3">
      <c r="I45" t="s">
        <v>32</v>
      </c>
      <c r="J45">
        <v>135000</v>
      </c>
      <c r="K45">
        <v>8775</v>
      </c>
      <c r="M45" t="s">
        <v>8</v>
      </c>
      <c r="N45" s="11">
        <v>1.603</v>
      </c>
      <c r="O45" s="11">
        <v>1.8577999999999999</v>
      </c>
      <c r="Q45" t="s">
        <v>58</v>
      </c>
      <c r="R45" s="6">
        <v>0.3054</v>
      </c>
      <c r="S45" s="6">
        <v>0.30599999999999999</v>
      </c>
    </row>
    <row r="46" spans="1:34" x14ac:dyDescent="0.3">
      <c r="I46" t="s">
        <v>33</v>
      </c>
      <c r="J46">
        <v>2400</v>
      </c>
      <c r="K46">
        <v>1920</v>
      </c>
      <c r="M46" t="s">
        <v>9</v>
      </c>
      <c r="N46" s="11">
        <v>0.17660000000000001</v>
      </c>
      <c r="O46" s="11">
        <v>0.1812</v>
      </c>
      <c r="Q46" t="s">
        <v>59</v>
      </c>
      <c r="R46" s="6">
        <v>0.18729999999999999</v>
      </c>
      <c r="S46" s="6">
        <v>0.18679999999999999</v>
      </c>
    </row>
    <row r="47" spans="1:34" x14ac:dyDescent="0.3">
      <c r="I47" t="s">
        <v>34</v>
      </c>
      <c r="J47">
        <v>2400</v>
      </c>
      <c r="K47">
        <v>1920</v>
      </c>
      <c r="M47" t="s">
        <v>10</v>
      </c>
      <c r="N47" s="3">
        <v>0</v>
      </c>
      <c r="O47" s="3">
        <v>0</v>
      </c>
      <c r="Q47" t="s">
        <v>60</v>
      </c>
      <c r="R47" s="6">
        <v>0.1338</v>
      </c>
      <c r="S47" s="6">
        <v>0.1326</v>
      </c>
    </row>
    <row r="48" spans="1:34" x14ac:dyDescent="0.3">
      <c r="I48" t="s">
        <v>35</v>
      </c>
      <c r="J48">
        <v>2400</v>
      </c>
      <c r="K48">
        <v>1920</v>
      </c>
      <c r="Q48" t="s">
        <v>61</v>
      </c>
      <c r="R48" s="6">
        <v>8.7499999999999994E-2</v>
      </c>
      <c r="S48" s="6">
        <v>8.6199999999999999E-2</v>
      </c>
    </row>
    <row r="49" spans="9:19" x14ac:dyDescent="0.3">
      <c r="I49" t="s">
        <v>36</v>
      </c>
      <c r="J49">
        <v>1000000</v>
      </c>
      <c r="K49">
        <v>1500</v>
      </c>
      <c r="Q49" t="s">
        <v>62</v>
      </c>
      <c r="R49" s="6">
        <v>5.5899999999999998E-2</v>
      </c>
      <c r="S49" s="6">
        <v>5.5E-2</v>
      </c>
    </row>
    <row r="50" spans="9:19" x14ac:dyDescent="0.3">
      <c r="I50" t="s">
        <v>37</v>
      </c>
      <c r="J50">
        <v>1600</v>
      </c>
      <c r="K50">
        <v>1280</v>
      </c>
    </row>
    <row r="51" spans="9:19" x14ac:dyDescent="0.3">
      <c r="I51" t="s">
        <v>38</v>
      </c>
      <c r="J51">
        <v>90500</v>
      </c>
      <c r="K51">
        <v>850</v>
      </c>
    </row>
    <row r="52" spans="9:19" x14ac:dyDescent="0.3">
      <c r="I52" t="s">
        <v>39</v>
      </c>
      <c r="J52">
        <v>1000</v>
      </c>
      <c r="K52">
        <v>800</v>
      </c>
    </row>
    <row r="53" spans="9:19" x14ac:dyDescent="0.3">
      <c r="I53" t="s">
        <v>40</v>
      </c>
      <c r="J53">
        <v>1000</v>
      </c>
      <c r="K53">
        <v>800</v>
      </c>
    </row>
    <row r="54" spans="9:19" x14ac:dyDescent="0.3">
      <c r="I54" t="s">
        <v>41</v>
      </c>
      <c r="J54">
        <v>1000</v>
      </c>
      <c r="K54">
        <v>800</v>
      </c>
    </row>
    <row r="55" spans="9:19" x14ac:dyDescent="0.3">
      <c r="I55" t="s">
        <v>42</v>
      </c>
      <c r="J55">
        <v>90500</v>
      </c>
      <c r="K55">
        <v>724</v>
      </c>
    </row>
    <row r="56" spans="9:19" x14ac:dyDescent="0.3">
      <c r="I56" t="s">
        <v>43</v>
      </c>
      <c r="J56">
        <v>880</v>
      </c>
      <c r="K56">
        <v>704</v>
      </c>
    </row>
    <row r="57" spans="9:19" x14ac:dyDescent="0.3">
      <c r="I57" t="s">
        <v>44</v>
      </c>
      <c r="J57">
        <v>880</v>
      </c>
      <c r="K57">
        <v>704</v>
      </c>
    </row>
    <row r="58" spans="9:19" x14ac:dyDescent="0.3">
      <c r="I58" t="s">
        <v>45</v>
      </c>
      <c r="J58">
        <v>720</v>
      </c>
      <c r="K58">
        <v>576</v>
      </c>
    </row>
    <row r="59" spans="9:19" x14ac:dyDescent="0.3">
      <c r="I59" t="s">
        <v>46</v>
      </c>
      <c r="J59">
        <v>720</v>
      </c>
      <c r="K59">
        <v>576</v>
      </c>
    </row>
    <row r="60" spans="9:19" x14ac:dyDescent="0.3">
      <c r="I60" t="s">
        <v>47</v>
      </c>
      <c r="J60">
        <v>1830000</v>
      </c>
      <c r="K60">
        <v>549</v>
      </c>
    </row>
    <row r="61" spans="9:19" x14ac:dyDescent="0.3">
      <c r="I61" t="s">
        <v>48</v>
      </c>
      <c r="J61">
        <v>3600</v>
      </c>
      <c r="K61">
        <v>475</v>
      </c>
    </row>
    <row r="62" spans="9:19" x14ac:dyDescent="0.3">
      <c r="I62" t="s">
        <v>49</v>
      </c>
      <c r="J62">
        <v>480</v>
      </c>
      <c r="K62">
        <v>384</v>
      </c>
    </row>
    <row r="63" spans="9:19" x14ac:dyDescent="0.3">
      <c r="I63" t="s">
        <v>50</v>
      </c>
      <c r="J63">
        <v>4400</v>
      </c>
      <c r="K63">
        <v>360</v>
      </c>
    </row>
    <row r="65" spans="1:19" x14ac:dyDescent="0.3">
      <c r="A65" s="12">
        <v>0.51</v>
      </c>
      <c r="B65" t="s">
        <v>63</v>
      </c>
      <c r="D65" t="s">
        <v>64</v>
      </c>
      <c r="F65" s="4" t="s">
        <v>23</v>
      </c>
      <c r="G65" s="4" t="s">
        <v>24</v>
      </c>
      <c r="I65" s="8" t="s">
        <v>28</v>
      </c>
      <c r="J65" s="8" t="s">
        <v>29</v>
      </c>
      <c r="K65" s="8" t="s">
        <v>30</v>
      </c>
      <c r="M65" s="8" t="s">
        <v>52</v>
      </c>
      <c r="N65" s="8" t="s">
        <v>53</v>
      </c>
      <c r="O65" s="8" t="s">
        <v>87</v>
      </c>
      <c r="Q65" s="8" t="s">
        <v>56</v>
      </c>
      <c r="R65" s="8" t="s">
        <v>53</v>
      </c>
      <c r="S65" s="8" t="s">
        <v>87</v>
      </c>
    </row>
    <row r="66" spans="1:19" x14ac:dyDescent="0.3">
      <c r="F66" t="s">
        <v>65</v>
      </c>
      <c r="G66" t="s">
        <v>66</v>
      </c>
      <c r="I66" t="s">
        <v>67</v>
      </c>
      <c r="J66">
        <v>5400</v>
      </c>
      <c r="K66">
        <v>1638</v>
      </c>
      <c r="M66" t="s">
        <v>7</v>
      </c>
      <c r="N66" s="6">
        <v>0.2172</v>
      </c>
      <c r="O66" s="6">
        <v>0.40560000000000002</v>
      </c>
      <c r="Q66" t="s">
        <v>57</v>
      </c>
      <c r="R66" s="6">
        <v>0.2243</v>
      </c>
      <c r="S66" s="6">
        <v>0.25840000000000002</v>
      </c>
    </row>
    <row r="67" spans="1:19" x14ac:dyDescent="0.3">
      <c r="I67" t="s">
        <v>68</v>
      </c>
      <c r="J67">
        <v>2240000</v>
      </c>
      <c r="K67">
        <v>40320</v>
      </c>
      <c r="M67" t="s">
        <v>8</v>
      </c>
      <c r="N67" s="3">
        <v>0</v>
      </c>
      <c r="O67" s="6">
        <v>0.25669999999999998</v>
      </c>
      <c r="Q67" t="s">
        <v>58</v>
      </c>
      <c r="R67" s="6">
        <v>0.32</v>
      </c>
      <c r="S67" s="6">
        <v>0.29720000000000002</v>
      </c>
    </row>
    <row r="68" spans="1:19" x14ac:dyDescent="0.3">
      <c r="I68" t="s">
        <v>69</v>
      </c>
      <c r="J68">
        <v>40500</v>
      </c>
      <c r="K68">
        <v>32724</v>
      </c>
      <c r="M68" t="s">
        <v>9</v>
      </c>
      <c r="N68" s="3">
        <v>0</v>
      </c>
      <c r="O68" s="6">
        <v>0.1032</v>
      </c>
      <c r="Q68" t="s">
        <v>59</v>
      </c>
      <c r="R68" s="6">
        <v>0.1656</v>
      </c>
      <c r="S68" s="6">
        <v>0.16159999999999999</v>
      </c>
    </row>
    <row r="69" spans="1:19" x14ac:dyDescent="0.3">
      <c r="I69" t="s">
        <v>70</v>
      </c>
      <c r="J69">
        <v>33100</v>
      </c>
      <c r="K69">
        <v>27340</v>
      </c>
      <c r="M69" t="s">
        <v>10</v>
      </c>
      <c r="N69" s="6">
        <v>0.58620000000000005</v>
      </c>
      <c r="O69" s="6">
        <v>0.87009999999999998</v>
      </c>
      <c r="Q69" t="s">
        <v>60</v>
      </c>
      <c r="R69" s="6">
        <v>0.1313</v>
      </c>
      <c r="S69" s="6">
        <v>0.1275</v>
      </c>
    </row>
    <row r="70" spans="1:19" x14ac:dyDescent="0.3">
      <c r="I70" t="s">
        <v>71</v>
      </c>
      <c r="J70">
        <v>9900</v>
      </c>
      <c r="K70">
        <v>8177</v>
      </c>
      <c r="Q70" t="s">
        <v>61</v>
      </c>
      <c r="R70" s="6">
        <v>9.2200000000000004E-2</v>
      </c>
      <c r="S70" s="6">
        <v>9.01E-2</v>
      </c>
    </row>
    <row r="71" spans="1:19" x14ac:dyDescent="0.3">
      <c r="I71" t="s">
        <v>72</v>
      </c>
      <c r="J71">
        <v>8100</v>
      </c>
      <c r="K71">
        <v>6690</v>
      </c>
      <c r="Q71" t="s">
        <v>62</v>
      </c>
      <c r="R71" s="6">
        <v>6.6600000000000006E-2</v>
      </c>
      <c r="S71" s="6">
        <v>6.5299999999999997E-2</v>
      </c>
    </row>
    <row r="72" spans="1:19" x14ac:dyDescent="0.3">
      <c r="I72" t="s">
        <v>73</v>
      </c>
      <c r="J72">
        <v>550000</v>
      </c>
      <c r="K72">
        <v>6600</v>
      </c>
    </row>
    <row r="73" spans="1:19" x14ac:dyDescent="0.3">
      <c r="I73" t="s">
        <v>74</v>
      </c>
      <c r="J73">
        <v>6600</v>
      </c>
      <c r="K73">
        <v>5569</v>
      </c>
    </row>
    <row r="74" spans="1:19" x14ac:dyDescent="0.3">
      <c r="I74" t="s">
        <v>75</v>
      </c>
      <c r="J74">
        <v>301000</v>
      </c>
      <c r="K74">
        <v>4816</v>
      </c>
    </row>
    <row r="75" spans="1:19" x14ac:dyDescent="0.3">
      <c r="I75" t="s">
        <v>76</v>
      </c>
      <c r="J75">
        <v>246000</v>
      </c>
      <c r="K75">
        <v>3936</v>
      </c>
    </row>
    <row r="76" spans="1:19" x14ac:dyDescent="0.3">
      <c r="I76" t="s">
        <v>77</v>
      </c>
      <c r="J76">
        <v>135000</v>
      </c>
      <c r="K76">
        <v>3699</v>
      </c>
    </row>
    <row r="77" spans="1:19" x14ac:dyDescent="0.3">
      <c r="I77" t="s">
        <v>78</v>
      </c>
      <c r="J77">
        <v>4400</v>
      </c>
      <c r="K77">
        <v>3634</v>
      </c>
    </row>
    <row r="78" spans="1:19" x14ac:dyDescent="0.3">
      <c r="I78" t="s">
        <v>79</v>
      </c>
      <c r="J78">
        <v>3600</v>
      </c>
      <c r="K78">
        <v>1000</v>
      </c>
    </row>
    <row r="79" spans="1:19" x14ac:dyDescent="0.3">
      <c r="I79" t="s">
        <v>80</v>
      </c>
      <c r="J79">
        <v>60500</v>
      </c>
      <c r="K79">
        <v>762</v>
      </c>
    </row>
    <row r="80" spans="1:19" x14ac:dyDescent="0.3">
      <c r="I80" t="s">
        <v>81</v>
      </c>
      <c r="J80">
        <v>49500</v>
      </c>
      <c r="K80">
        <v>693</v>
      </c>
    </row>
    <row r="81" spans="1:19" x14ac:dyDescent="0.3">
      <c r="I81" t="s">
        <v>82</v>
      </c>
      <c r="J81">
        <v>1300</v>
      </c>
      <c r="K81">
        <v>599</v>
      </c>
    </row>
    <row r="82" spans="1:19" x14ac:dyDescent="0.3">
      <c r="I82" t="s">
        <v>83</v>
      </c>
      <c r="J82">
        <v>9900</v>
      </c>
      <c r="K82">
        <v>435</v>
      </c>
    </row>
    <row r="83" spans="1:19" x14ac:dyDescent="0.3">
      <c r="I83" t="s">
        <v>84</v>
      </c>
      <c r="J83">
        <v>27100</v>
      </c>
      <c r="K83">
        <v>378</v>
      </c>
    </row>
    <row r="84" spans="1:19" x14ac:dyDescent="0.3">
      <c r="I84" t="s">
        <v>85</v>
      </c>
      <c r="J84">
        <v>22200</v>
      </c>
      <c r="K84">
        <v>310</v>
      </c>
    </row>
    <row r="85" spans="1:19" x14ac:dyDescent="0.3">
      <c r="I85" t="s">
        <v>86</v>
      </c>
      <c r="J85">
        <v>74000</v>
      </c>
      <c r="K85">
        <v>59200</v>
      </c>
    </row>
    <row r="87" spans="1:19" x14ac:dyDescent="0.3">
      <c r="A87" s="14">
        <v>0.19</v>
      </c>
      <c r="B87" t="s">
        <v>96</v>
      </c>
      <c r="D87" t="s">
        <v>97</v>
      </c>
      <c r="F87" s="8" t="s">
        <v>23</v>
      </c>
      <c r="G87" s="8" t="s">
        <v>24</v>
      </c>
      <c r="I87" t="s">
        <v>28</v>
      </c>
      <c r="J87" t="s">
        <v>29</v>
      </c>
      <c r="K87" t="s">
        <v>30</v>
      </c>
      <c r="M87" s="8" t="s">
        <v>52</v>
      </c>
      <c r="N87" s="8" t="s">
        <v>53</v>
      </c>
      <c r="O87" s="8" t="s">
        <v>119</v>
      </c>
      <c r="Q87" s="8" t="s">
        <v>56</v>
      </c>
      <c r="R87" s="8" t="s">
        <v>53</v>
      </c>
      <c r="S87" s="8" t="s">
        <v>119</v>
      </c>
    </row>
    <row r="88" spans="1:19" x14ac:dyDescent="0.3">
      <c r="F88" t="s">
        <v>98</v>
      </c>
      <c r="G88" t="s">
        <v>164</v>
      </c>
      <c r="I88" t="s">
        <v>99</v>
      </c>
      <c r="J88">
        <v>201000</v>
      </c>
      <c r="K88">
        <v>60540</v>
      </c>
      <c r="M88" t="s">
        <v>7</v>
      </c>
      <c r="N88" s="6">
        <v>0.15570000000000001</v>
      </c>
      <c r="O88" s="6">
        <v>0.2601</v>
      </c>
      <c r="Q88" t="s">
        <v>57</v>
      </c>
      <c r="R88" s="6">
        <v>0.1729</v>
      </c>
      <c r="S88" s="6">
        <v>0.1691</v>
      </c>
    </row>
    <row r="89" spans="1:19" x14ac:dyDescent="0.3">
      <c r="I89" t="s">
        <v>100</v>
      </c>
      <c r="J89">
        <v>40500</v>
      </c>
      <c r="K89">
        <v>18346</v>
      </c>
      <c r="M89" t="s">
        <v>8</v>
      </c>
      <c r="N89" s="3">
        <v>0</v>
      </c>
      <c r="O89" s="3">
        <v>0</v>
      </c>
      <c r="Q89" t="s">
        <v>58</v>
      </c>
      <c r="R89" s="6">
        <v>0.3473</v>
      </c>
      <c r="S89" s="6">
        <v>0.35389999999999999</v>
      </c>
    </row>
    <row r="90" spans="1:19" x14ac:dyDescent="0.3">
      <c r="I90" t="s">
        <v>101</v>
      </c>
      <c r="J90">
        <v>12100</v>
      </c>
      <c r="K90">
        <v>5225</v>
      </c>
      <c r="M90" t="s">
        <v>9</v>
      </c>
      <c r="N90" s="3">
        <v>0</v>
      </c>
      <c r="O90" s="3">
        <v>0</v>
      </c>
      <c r="Q90" t="s">
        <v>59</v>
      </c>
      <c r="R90" s="6">
        <v>0.18870000000000001</v>
      </c>
      <c r="S90" s="6">
        <v>0.1802</v>
      </c>
    </row>
    <row r="91" spans="1:19" x14ac:dyDescent="0.3">
      <c r="I91" t="s">
        <v>102</v>
      </c>
      <c r="J91">
        <v>9900</v>
      </c>
      <c r="K91">
        <v>3117</v>
      </c>
      <c r="M91" t="s">
        <v>10</v>
      </c>
      <c r="N91" s="6">
        <v>0</v>
      </c>
      <c r="O91" s="3">
        <v>0</v>
      </c>
      <c r="Q91" t="s">
        <v>60</v>
      </c>
      <c r="R91" s="6">
        <v>0.14119999999999999</v>
      </c>
      <c r="S91" s="3">
        <v>0.14000000000000001</v>
      </c>
    </row>
    <row r="92" spans="1:19" x14ac:dyDescent="0.3">
      <c r="I92" t="s">
        <v>103</v>
      </c>
      <c r="J92">
        <v>3600</v>
      </c>
      <c r="K92">
        <v>1896</v>
      </c>
      <c r="Q92" t="s">
        <v>61</v>
      </c>
      <c r="R92" s="6">
        <v>9.1999999999999998E-2</v>
      </c>
      <c r="S92" s="6">
        <v>9.6699999999999994E-2</v>
      </c>
    </row>
    <row r="93" spans="1:19" x14ac:dyDescent="0.3">
      <c r="I93" t="s">
        <v>104</v>
      </c>
      <c r="J93">
        <v>450000</v>
      </c>
      <c r="K93">
        <v>363510</v>
      </c>
      <c r="Q93" t="s">
        <v>62</v>
      </c>
      <c r="R93" s="6">
        <v>5.79E-2</v>
      </c>
      <c r="S93" s="6">
        <v>5.9900000000000002E-2</v>
      </c>
    </row>
    <row r="94" spans="1:19" x14ac:dyDescent="0.3">
      <c r="I94" t="s">
        <v>105</v>
      </c>
      <c r="J94">
        <v>49500</v>
      </c>
      <c r="K94">
        <v>43164</v>
      </c>
    </row>
    <row r="95" spans="1:19" x14ac:dyDescent="0.3">
      <c r="I95" t="s">
        <v>106</v>
      </c>
      <c r="J95">
        <v>27100</v>
      </c>
      <c r="K95">
        <v>23304</v>
      </c>
    </row>
    <row r="96" spans="1:19" x14ac:dyDescent="0.3">
      <c r="I96" t="s">
        <v>107</v>
      </c>
      <c r="J96">
        <v>18100</v>
      </c>
      <c r="K96">
        <v>15853</v>
      </c>
    </row>
    <row r="97" spans="1:19" x14ac:dyDescent="0.3">
      <c r="I97" t="s">
        <v>108</v>
      </c>
      <c r="J97">
        <v>22200</v>
      </c>
      <c r="K97">
        <v>5771</v>
      </c>
    </row>
    <row r="98" spans="1:19" x14ac:dyDescent="0.3">
      <c r="I98" t="s">
        <v>109</v>
      </c>
      <c r="J98">
        <v>8100</v>
      </c>
      <c r="K98">
        <v>4866</v>
      </c>
    </row>
    <row r="99" spans="1:19" x14ac:dyDescent="0.3">
      <c r="I99" t="s">
        <v>110</v>
      </c>
      <c r="J99">
        <v>165000</v>
      </c>
      <c r="K99">
        <v>4191</v>
      </c>
    </row>
    <row r="100" spans="1:19" x14ac:dyDescent="0.3">
      <c r="I100" t="s">
        <v>111</v>
      </c>
      <c r="J100">
        <v>8100</v>
      </c>
      <c r="K100">
        <v>3935</v>
      </c>
    </row>
    <row r="101" spans="1:19" x14ac:dyDescent="0.3">
      <c r="I101" t="s">
        <v>112</v>
      </c>
      <c r="J101">
        <v>8100</v>
      </c>
      <c r="K101">
        <v>3538</v>
      </c>
    </row>
    <row r="102" spans="1:19" x14ac:dyDescent="0.3">
      <c r="I102" t="s">
        <v>113</v>
      </c>
      <c r="J102">
        <v>6600</v>
      </c>
      <c r="K102">
        <v>2652</v>
      </c>
    </row>
    <row r="103" spans="1:19" x14ac:dyDescent="0.3">
      <c r="I103" t="s">
        <v>114</v>
      </c>
      <c r="J103">
        <v>4400</v>
      </c>
      <c r="K103">
        <v>2163</v>
      </c>
    </row>
    <row r="104" spans="1:19" x14ac:dyDescent="0.3">
      <c r="I104" t="s">
        <v>115</v>
      </c>
      <c r="J104">
        <v>4400</v>
      </c>
      <c r="K104">
        <v>2031</v>
      </c>
    </row>
    <row r="105" spans="1:19" x14ac:dyDescent="0.3">
      <c r="I105" t="s">
        <v>116</v>
      </c>
      <c r="J105">
        <v>1900</v>
      </c>
      <c r="K105">
        <v>876</v>
      </c>
    </row>
    <row r="106" spans="1:19" x14ac:dyDescent="0.3">
      <c r="I106" t="s">
        <v>117</v>
      </c>
      <c r="J106">
        <v>1600</v>
      </c>
      <c r="K106">
        <v>631</v>
      </c>
    </row>
    <row r="107" spans="1:19" x14ac:dyDescent="0.3">
      <c r="I107" t="s">
        <v>118</v>
      </c>
      <c r="J107">
        <v>1300</v>
      </c>
      <c r="K107">
        <v>599</v>
      </c>
    </row>
    <row r="109" spans="1:19" x14ac:dyDescent="0.3">
      <c r="A109" s="17">
        <v>0.4</v>
      </c>
      <c r="B109" s="9" t="s">
        <v>120</v>
      </c>
      <c r="C109" s="9"/>
      <c r="D109" s="9" t="s">
        <v>121</v>
      </c>
      <c r="E109" s="9"/>
      <c r="F109" s="9" t="s">
        <v>23</v>
      </c>
      <c r="G109" s="9" t="s">
        <v>24</v>
      </c>
      <c r="H109" s="9"/>
      <c r="I109" s="9" t="s">
        <v>28</v>
      </c>
      <c r="J109" s="9" t="s">
        <v>29</v>
      </c>
      <c r="K109" s="9" t="s">
        <v>30</v>
      </c>
      <c r="L109" s="9"/>
      <c r="M109" s="8" t="s">
        <v>52</v>
      </c>
      <c r="N109" s="8" t="s">
        <v>53</v>
      </c>
      <c r="O109" s="15" t="s">
        <v>143</v>
      </c>
      <c r="P109" s="9"/>
      <c r="Q109" s="8" t="s">
        <v>56</v>
      </c>
      <c r="R109" s="8" t="s">
        <v>53</v>
      </c>
      <c r="S109" s="15" t="s">
        <v>143</v>
      </c>
    </row>
    <row r="110" spans="1:19" x14ac:dyDescent="0.3">
      <c r="F110" t="s">
        <v>122</v>
      </c>
      <c r="G110" t="s">
        <v>123</v>
      </c>
      <c r="I110" t="s">
        <v>124</v>
      </c>
      <c r="J110">
        <v>18100</v>
      </c>
      <c r="K110">
        <v>14769</v>
      </c>
      <c r="M110" t="s">
        <v>7</v>
      </c>
      <c r="N110" s="6">
        <v>0.85899999999999999</v>
      </c>
      <c r="O110" s="6">
        <v>0.49430000000000002</v>
      </c>
      <c r="Q110" t="s">
        <v>57</v>
      </c>
      <c r="R110" s="6">
        <v>0.22109999999999999</v>
      </c>
      <c r="S110" s="6">
        <v>0.25829999999999997</v>
      </c>
    </row>
    <row r="111" spans="1:19" x14ac:dyDescent="0.3">
      <c r="I111" t="s">
        <v>125</v>
      </c>
      <c r="J111">
        <v>18100</v>
      </c>
      <c r="K111">
        <v>14758</v>
      </c>
      <c r="M111" t="s">
        <v>8</v>
      </c>
      <c r="N111" s="3">
        <v>0</v>
      </c>
      <c r="O111" s="3">
        <v>0</v>
      </c>
      <c r="Q111" t="s">
        <v>58</v>
      </c>
      <c r="R111" s="6">
        <v>0.29799999999999999</v>
      </c>
      <c r="S111" s="6">
        <v>0.30759999999999998</v>
      </c>
    </row>
    <row r="112" spans="1:19" x14ac:dyDescent="0.3">
      <c r="I112" t="s">
        <v>126</v>
      </c>
      <c r="J112">
        <v>5400</v>
      </c>
      <c r="K112">
        <v>409</v>
      </c>
      <c r="M112" t="s">
        <v>9</v>
      </c>
      <c r="N112" s="3">
        <v>9.0499999999999997E-2</v>
      </c>
      <c r="O112" s="3">
        <v>0</v>
      </c>
      <c r="Q112" t="s">
        <v>59</v>
      </c>
      <c r="R112" s="6">
        <v>0.16869999999999999</v>
      </c>
      <c r="S112" s="6">
        <v>0.16159999999999999</v>
      </c>
    </row>
    <row r="113" spans="9:19" x14ac:dyDescent="0.3">
      <c r="I113" t="s">
        <v>127</v>
      </c>
      <c r="J113">
        <v>12100</v>
      </c>
      <c r="K113">
        <v>9801</v>
      </c>
      <c r="M113" t="s">
        <v>10</v>
      </c>
      <c r="N113" s="6">
        <v>0.25990000000000002</v>
      </c>
      <c r="O113" s="3">
        <v>0.15859999999999999</v>
      </c>
      <c r="Q113" t="s">
        <v>60</v>
      </c>
      <c r="R113" s="6">
        <v>0.1414</v>
      </c>
      <c r="S113" s="3">
        <v>0.12920000000000001</v>
      </c>
    </row>
    <row r="114" spans="9:19" x14ac:dyDescent="0.3">
      <c r="I114" t="s">
        <v>128</v>
      </c>
      <c r="J114">
        <v>2900</v>
      </c>
      <c r="K114">
        <v>1228</v>
      </c>
      <c r="Q114" t="s">
        <v>61</v>
      </c>
      <c r="R114" s="6">
        <v>0.10249999999999999</v>
      </c>
      <c r="S114" s="6">
        <v>8.6900000000000005E-2</v>
      </c>
    </row>
    <row r="115" spans="9:19" x14ac:dyDescent="0.3">
      <c r="I115" t="s">
        <v>129</v>
      </c>
      <c r="J115">
        <v>4400</v>
      </c>
      <c r="K115">
        <v>1196</v>
      </c>
      <c r="Q115" t="s">
        <v>62</v>
      </c>
      <c r="R115" s="6">
        <v>6.83E-2</v>
      </c>
      <c r="S115" s="6">
        <v>5.6300000000000003E-2</v>
      </c>
    </row>
    <row r="116" spans="9:19" x14ac:dyDescent="0.3">
      <c r="I116" t="s">
        <v>130</v>
      </c>
      <c r="J116">
        <v>33100</v>
      </c>
      <c r="K116">
        <v>1025</v>
      </c>
    </row>
    <row r="117" spans="9:19" x14ac:dyDescent="0.3">
      <c r="I117" t="s">
        <v>131</v>
      </c>
      <c r="J117">
        <v>1300</v>
      </c>
      <c r="K117">
        <v>599</v>
      </c>
    </row>
    <row r="118" spans="9:19" x14ac:dyDescent="0.3">
      <c r="I118" t="s">
        <v>132</v>
      </c>
      <c r="J118">
        <v>8100</v>
      </c>
      <c r="K118">
        <v>437</v>
      </c>
    </row>
    <row r="119" spans="9:19" x14ac:dyDescent="0.3">
      <c r="I119" t="s">
        <v>133</v>
      </c>
      <c r="J119">
        <v>880</v>
      </c>
      <c r="K119">
        <v>334</v>
      </c>
    </row>
    <row r="120" spans="9:19" x14ac:dyDescent="0.3">
      <c r="I120" t="s">
        <v>134</v>
      </c>
      <c r="J120">
        <v>74000</v>
      </c>
      <c r="K120">
        <v>59200</v>
      </c>
    </row>
    <row r="121" spans="9:19" x14ac:dyDescent="0.3">
      <c r="I121" t="s">
        <v>135</v>
      </c>
      <c r="J121">
        <v>4400</v>
      </c>
      <c r="K121">
        <v>3520</v>
      </c>
    </row>
    <row r="122" spans="9:19" x14ac:dyDescent="0.3">
      <c r="I122" t="s">
        <v>136</v>
      </c>
      <c r="J122">
        <v>4400</v>
      </c>
      <c r="K122">
        <v>3520</v>
      </c>
    </row>
    <row r="123" spans="9:19" x14ac:dyDescent="0.3">
      <c r="I123" t="s">
        <v>137</v>
      </c>
      <c r="J123">
        <v>673000</v>
      </c>
      <c r="K123">
        <v>3365</v>
      </c>
    </row>
    <row r="124" spans="9:19" x14ac:dyDescent="0.3">
      <c r="I124" t="s">
        <v>138</v>
      </c>
      <c r="J124">
        <v>2400</v>
      </c>
      <c r="K124">
        <v>1920</v>
      </c>
    </row>
    <row r="125" spans="9:19" x14ac:dyDescent="0.3">
      <c r="I125" t="s">
        <v>139</v>
      </c>
      <c r="J125">
        <v>2400</v>
      </c>
      <c r="K125">
        <v>1920</v>
      </c>
    </row>
    <row r="126" spans="9:19" x14ac:dyDescent="0.3">
      <c r="I126" t="s">
        <v>140</v>
      </c>
      <c r="J126">
        <v>2400</v>
      </c>
      <c r="K126">
        <v>1920</v>
      </c>
    </row>
    <row r="127" spans="9:19" x14ac:dyDescent="0.3">
      <c r="I127" t="s">
        <v>141</v>
      </c>
      <c r="J127">
        <v>60500</v>
      </c>
      <c r="K127">
        <v>1452</v>
      </c>
    </row>
    <row r="128" spans="9:19" x14ac:dyDescent="0.3">
      <c r="I128" t="s">
        <v>142</v>
      </c>
      <c r="J128">
        <v>1600</v>
      </c>
      <c r="K128">
        <v>1280</v>
      </c>
    </row>
    <row r="129" spans="9:11" x14ac:dyDescent="0.3">
      <c r="I129" t="s">
        <v>143</v>
      </c>
      <c r="J129">
        <v>1600</v>
      </c>
      <c r="K129">
        <v>1280</v>
      </c>
    </row>
  </sheetData>
  <mergeCells count="13">
    <mergeCell ref="A41:W41"/>
    <mergeCell ref="A1:W1"/>
    <mergeCell ref="A42:B42"/>
    <mergeCell ref="F42:G42"/>
    <mergeCell ref="I42:K42"/>
    <mergeCell ref="M42:O42"/>
    <mergeCell ref="Q42:S42"/>
    <mergeCell ref="K2:L2"/>
    <mergeCell ref="H2:I2"/>
    <mergeCell ref="E2:F2"/>
    <mergeCell ref="A2:C2"/>
    <mergeCell ref="N2:Q2"/>
    <mergeCell ref="T2:V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5_Click">
                <anchor moveWithCells="1">
                  <from>
                    <xdr:col>23</xdr:col>
                    <xdr:colOff>213360</xdr:colOff>
                    <xdr:row>1</xdr:row>
                    <xdr:rowOff>167640</xdr:rowOff>
                  </from>
                  <to>
                    <xdr:col>24</xdr:col>
                    <xdr:colOff>121920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Traffic Analytics</vt:lpstr>
      <vt:lpstr>Market Explorer</vt:lpstr>
      <vt:lpstr>Data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Namrata Vihol</dc:creator>
  <cp:lastModifiedBy>Namrata Vihol</cp:lastModifiedBy>
  <dcterms:created xsi:type="dcterms:W3CDTF">2022-04-18T13:30:15Z</dcterms:created>
  <dcterms:modified xsi:type="dcterms:W3CDTF">2022-05-15T23:56:00Z</dcterms:modified>
</cp:coreProperties>
</file>